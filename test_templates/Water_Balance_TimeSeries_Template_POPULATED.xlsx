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Water-Balance-Application\test_templates\"/>
    </mc:Choice>
  </mc:AlternateContent>
  <xr:revisionPtr revIDLastSave="0" documentId="13_ncr:1_{0E873E57-C237-4778-95F1-0C2DAE506F3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eference Guide" sheetId="1" r:id="rId1"/>
    <sheet name="Flows_UG2N" sheetId="2" r:id="rId2"/>
    <sheet name="Flows_UG2S" sheetId="3" r:id="rId3"/>
    <sheet name="Flows_UG2P" sheetId="4" r:id="rId4"/>
    <sheet name="Flows_MERN" sheetId="5" r:id="rId5"/>
    <sheet name="Flows_MERP" sheetId="6" r:id="rId6"/>
    <sheet name="Flows_MERS" sheetId="7" r:id="rId7"/>
    <sheet name="Flows_OLDTSF" sheetId="8" r:id="rId8"/>
    <sheet name="Flows_STOCKPIL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</calcChain>
</file>

<file path=xl/sharedStrings.xml><?xml version="1.0" encoding="utf-8"?>
<sst xmlns="http://schemas.openxmlformats.org/spreadsheetml/2006/main" count="726" uniqueCount="389">
  <si>
    <t>Water Balance Template - Node &amp; Flow Reference</t>
  </si>
  <si>
    <t>Unnamed: 1</t>
  </si>
  <si>
    <t>Unnamed: 2</t>
  </si>
  <si>
    <t>Node ID</t>
  </si>
  <si>
    <t>Label</t>
  </si>
  <si>
    <t>Area</t>
  </si>
  <si>
    <t>bh_mcgwa</t>
  </si>
  <si>
    <t>BOREHOLE ABSTRACTION
(MCGWA 1-2)</t>
  </si>
  <si>
    <t>MERN</t>
  </si>
  <si>
    <t>bh_ndgwa</t>
  </si>
  <si>
    <t>BOREHOLE ABSTRACTION
(NDGWA 1-6)</t>
  </si>
  <si>
    <t>UG2N</t>
  </si>
  <si>
    <t>consumption</t>
  </si>
  <si>
    <t>CONSUMPTION</t>
  </si>
  <si>
    <t>consumption2</t>
  </si>
  <si>
    <t>consumption_merensky</t>
  </si>
  <si>
    <t>dust_suppression</t>
  </si>
  <si>
    <t>DUST SUPPRESSION</t>
  </si>
  <si>
    <t>dust_suppression_merensky</t>
  </si>
  <si>
    <t>evaporation</t>
  </si>
  <si>
    <t>EVAPORATION</t>
  </si>
  <si>
    <t>evaporation_merensky</t>
  </si>
  <si>
    <t>guest_house</t>
  </si>
  <si>
    <t>GUEST HOUSE</t>
  </si>
  <si>
    <t>losses</t>
  </si>
  <si>
    <t>LOSSES</t>
  </si>
  <si>
    <t>losses2</t>
  </si>
  <si>
    <t>losses_merensky</t>
  </si>
  <si>
    <t>merensky_north_decline</t>
  </si>
  <si>
    <t>MERENSKY NORTH DECLINE</t>
  </si>
  <si>
    <t>merensky_north_shaft</t>
  </si>
  <si>
    <t>MERENSKY NORTH DECLINE SHAFT AREA</t>
  </si>
  <si>
    <t>merplant_merp_off</t>
  </si>
  <si>
    <t>OFFICES</t>
  </si>
  <si>
    <t>MERP</t>
  </si>
  <si>
    <t>merplant_merp_off_consumption</t>
  </si>
  <si>
    <t>merplant_merp_off_losses</t>
  </si>
  <si>
    <t>merplant_merp_ore_water</t>
  </si>
  <si>
    <t>WATER IN ORE</t>
  </si>
  <si>
    <t>merplant_merp_plant</t>
  </si>
  <si>
    <t>MERENSKY CONCENTRATOR Plant</t>
  </si>
  <si>
    <t>merplant_merp_plant_losses</t>
  </si>
  <si>
    <t>merplant_merp_plant_product</t>
  </si>
  <si>
    <t>WATER IN
CONCENTRATE</t>
  </si>
  <si>
    <t>merplant_merp_res</t>
  </si>
  <si>
    <t>RESERVOIR</t>
  </si>
  <si>
    <t>merplant_merp_soft</t>
  </si>
  <si>
    <t>SOFTENING PLANT</t>
  </si>
  <si>
    <t>merplant_merp_stp</t>
  </si>
  <si>
    <t>SEWAGE TREATMENT</t>
  </si>
  <si>
    <t>merplant_merp_stp_losses</t>
  </si>
  <si>
    <t>merplant_mpgwa_boreholes</t>
  </si>
  <si>
    <t>BOREHOLE ABSTRACTION
(MPGWA)</t>
  </si>
  <si>
    <t>merplant_mprwsd1</t>
  </si>
  <si>
    <t>MPRWSD 1</t>
  </si>
  <si>
    <t>merplant_mprwsd1_rivers</t>
  </si>
  <si>
    <t>RAW WATER INTAKE (RIVERS)</t>
  </si>
  <si>
    <t>merplant_mpswd12</t>
  </si>
  <si>
    <t>MPSWD 1-2</t>
  </si>
  <si>
    <t>merplant_mpswd12_dust</t>
  </si>
  <si>
    <t>merplant_mpswd12_evap</t>
  </si>
  <si>
    <t>merplant_mpswd12_rain</t>
  </si>
  <si>
    <t>DIRECT RAINFALL</t>
  </si>
  <si>
    <t>merplant_mpswd12_spill</t>
  </si>
  <si>
    <t>SPILL</t>
  </si>
  <si>
    <t>mers_borehole</t>
  </si>
  <si>
    <t>BOREHOLE ABSTRACTION
(MOGWA South)</t>
  </si>
  <si>
    <t>MERS</t>
  </si>
  <si>
    <t>mers_consumption</t>
  </si>
  <si>
    <t>mers_mdcd_dust</t>
  </si>
  <si>
    <t>DUST
SUPPRESSION</t>
  </si>
  <si>
    <t>mers_mdcd_evap</t>
  </si>
  <si>
    <t>mers_mdcd_spill</t>
  </si>
  <si>
    <t>mers_mdcdg</t>
  </si>
  <si>
    <t>MDCD 5-6
(Group)</t>
  </si>
  <si>
    <t>mers_offices</t>
  </si>
  <si>
    <t>mers_rainfall</t>
  </si>
  <si>
    <t>DIRECT RAINFALL
(MDCD 5-6)</t>
  </si>
  <si>
    <t>mers_sd</t>
  </si>
  <si>
    <t>MERENSKY SOUTH
DECLINE</t>
  </si>
  <si>
    <t>mers_sdsa</t>
  </si>
  <si>
    <t>MERENSKY SOUTH
DECLINE SHAFT AREA</t>
  </si>
  <si>
    <t>mers_soft</t>
  </si>
  <si>
    <t>SOFTENING
PLANT</t>
  </si>
  <si>
    <t>mers_soft_losses</t>
  </si>
  <si>
    <t>ndcd</t>
  </si>
  <si>
    <t>NDCD 1-2 / NDSWD 1</t>
  </si>
  <si>
    <t>ndcd_merensky</t>
  </si>
  <si>
    <t>NDCD 3-4 / NDSWD 2</t>
  </si>
  <si>
    <t>north_decline</t>
  </si>
  <si>
    <t>NORTH DECLINE</t>
  </si>
  <si>
    <t>north_shaft</t>
  </si>
  <si>
    <t>NORTH DECLINE SHAFT AREA</t>
  </si>
  <si>
    <t>offices</t>
  </si>
  <si>
    <t>offices_merensky</t>
  </si>
  <si>
    <t>oldtsf_gwa_boreholes</t>
  </si>
  <si>
    <t>BOREHOLE
ABSTRACTION
(TSFGWA1-2)</t>
  </si>
  <si>
    <t>OLDTSF</t>
  </si>
  <si>
    <t>oldtsf_new_tsf</t>
  </si>
  <si>
    <t>NEW TAILINGS
STORAGE FACILITY</t>
  </si>
  <si>
    <t>oldtsf_new_tsf_evap</t>
  </si>
  <si>
    <t>oldtsf_new_tsf_interstitial</t>
  </si>
  <si>
    <t>INTERSTITIAL
STORAGE</t>
  </si>
  <si>
    <t>oldtsf_new_tsf_rainrun</t>
  </si>
  <si>
    <t>RAINFALL &amp;
RUNOFF</t>
  </si>
  <si>
    <t>oldtsf_new_tsf_seepage</t>
  </si>
  <si>
    <t>SEEPAGE</t>
  </si>
  <si>
    <t>oldtsf_nt_rwd</t>
  </si>
  <si>
    <t>NT RWD 1&amp;2</t>
  </si>
  <si>
    <t>oldtsf_nt_rwd_evap</t>
  </si>
  <si>
    <t>oldtsf_nt_rwd_rain</t>
  </si>
  <si>
    <t>DIRECT
RAINFALL</t>
  </si>
  <si>
    <t>oldtsf_nt_rwd_spill</t>
  </si>
  <si>
    <t>oldtsf_off_consumption</t>
  </si>
  <si>
    <t>oldtsf_off_septic</t>
  </si>
  <si>
    <t>SEPTIC TANK</t>
  </si>
  <si>
    <t>oldtsf_offices</t>
  </si>
  <si>
    <t>oldtsf_old_tsf</t>
  </si>
  <si>
    <t>OLD TAILINGS
STORAGE FACILITY</t>
  </si>
  <si>
    <t>oldtsf_old_tsf_evap</t>
  </si>
  <si>
    <t>oldtsf_old_tsf_interstitial</t>
  </si>
  <si>
    <t>oldtsf_old_tsf_rainrun</t>
  </si>
  <si>
    <t>oldtsf_old_tsf_seepage</t>
  </si>
  <si>
    <t>oldtsf_trtd</t>
  </si>
  <si>
    <t>TRTD 1-2(RWDs)</t>
  </si>
  <si>
    <t>oldtsf_trtd_evap</t>
  </si>
  <si>
    <t>oldtsf_trtd_rain</t>
  </si>
  <si>
    <t>oldtsf_trtd_spill</t>
  </si>
  <si>
    <t>rainfall</t>
  </si>
  <si>
    <t>rainfall_merensky</t>
  </si>
  <si>
    <t>reservoir</t>
  </si>
  <si>
    <t>septic</t>
  </si>
  <si>
    <t>sewage</t>
  </si>
  <si>
    <t>softening</t>
  </si>
  <si>
    <t>softening_merensky</t>
  </si>
  <si>
    <t>spcd1</t>
  </si>
  <si>
    <t>SPCD 1</t>
  </si>
  <si>
    <t>STOCKPILE</t>
  </si>
  <si>
    <t>spill</t>
  </si>
  <si>
    <t>spill_merensky</t>
  </si>
  <si>
    <t>stockpile_area</t>
  </si>
  <si>
    <t>STOCKPILE AREA</t>
  </si>
  <si>
    <t>stockpile_bh_gwa</t>
  </si>
  <si>
    <t>BOREHOLE ABSTRACTION
(SPGWA)</t>
  </si>
  <si>
    <t>stockpile_consumption</t>
  </si>
  <si>
    <t>stockpile_dust_suppression</t>
  </si>
  <si>
    <t>stockpile_evaporation</t>
  </si>
  <si>
    <t>stockpile_evaporation2</t>
  </si>
  <si>
    <t>stockpile_offices</t>
  </si>
  <si>
    <t>stockpile_rainfall</t>
  </si>
  <si>
    <t>DIRECT RAINFALL
(STOCKPILE)</t>
  </si>
  <si>
    <t>stockpile_rainfall_spcd1</t>
  </si>
  <si>
    <t>DIRECT RAINFALL
(SPCD 1)</t>
  </si>
  <si>
    <t>stockpile_septic</t>
  </si>
  <si>
    <t>stockpile_spill</t>
  </si>
  <si>
    <t>ug2plant_cpgwa_boreholes</t>
  </si>
  <si>
    <t>BOREHOLE ABSTRACTION
(CPGWA 1-4)</t>
  </si>
  <si>
    <t>UG2P</t>
  </si>
  <si>
    <t>ug2plant_cppwt</t>
  </si>
  <si>
    <t>CPPWT</t>
  </si>
  <si>
    <t>ug2plant_cprwsd1</t>
  </si>
  <si>
    <t>CPRWSD 1</t>
  </si>
  <si>
    <t>ug2plant_ug2p_off</t>
  </si>
  <si>
    <t>ug2plant_ug2p_off_consumption</t>
  </si>
  <si>
    <t>ug2plant_ug2p_ore_water</t>
  </si>
  <si>
    <t>ug2plant_ug2p_plant</t>
  </si>
  <si>
    <t>UG2 CONCENTRATOR Plant</t>
  </si>
  <si>
    <t>ug2plant_ug2p_plant_losses</t>
  </si>
  <si>
    <t>ug2plant_ug2p_plant_product</t>
  </si>
  <si>
    <t>ug2plant_ug2p_res</t>
  </si>
  <si>
    <t>ug2plant_ug2p_rivers</t>
  </si>
  <si>
    <t>ug2plant_ug2p_soft</t>
  </si>
  <si>
    <t>ug2plant_ug2p_soft_losses</t>
  </si>
  <si>
    <t>ug2plant_ug2p_stp</t>
  </si>
  <si>
    <t>ug2plant_ug2p_stp_losses</t>
  </si>
  <si>
    <t>ug2plant_ug2pcd1</t>
  </si>
  <si>
    <t>UG2PCD 1</t>
  </si>
  <si>
    <t>ug2plant_ug2pcd1_dust</t>
  </si>
  <si>
    <t>ug2plant_ug2pcd1_evap</t>
  </si>
  <si>
    <t>ug2plant_ug2pcd1_rain</t>
  </si>
  <si>
    <t>ug2plant_ug2pcd1_spill</t>
  </si>
  <si>
    <t>ug2s_borehole</t>
  </si>
  <si>
    <t>BOREHOLE ABSTRACTION
(MGDWA)</t>
  </si>
  <si>
    <t>UG2S</t>
  </si>
  <si>
    <t>ug2s_consumption</t>
  </si>
  <si>
    <t>ug2s_mdcd_dust</t>
  </si>
  <si>
    <t>ug2s_mdcd_evap</t>
  </si>
  <si>
    <t>ug2s_mdcd_spill</t>
  </si>
  <si>
    <t>ug2s_mdcdg</t>
  </si>
  <si>
    <t>MDCD 1-4
(Group)</t>
  </si>
  <si>
    <t>ug2s_offices</t>
  </si>
  <si>
    <t>ug2s_rainfall</t>
  </si>
  <si>
    <t>DIRECT RAINFALL
(MDCD 1-4)</t>
  </si>
  <si>
    <t>ug2s_res</t>
  </si>
  <si>
    <t>ug2s_sd</t>
  </si>
  <si>
    <t>SOUTH
DECLINE</t>
  </si>
  <si>
    <t>ug2s_sdsa</t>
  </si>
  <si>
    <t>SOUTH DECLINE
SHAFT AREA</t>
  </si>
  <si>
    <t>ug2s_soft</t>
  </si>
  <si>
    <t>ug2s_soft_losses</t>
  </si>
  <si>
    <t>ug2s_stp</t>
  </si>
  <si>
    <t>SEWAGE
TREATMENT</t>
  </si>
  <si>
    <t>ug2s_stp_losses</t>
  </si>
  <si>
    <t>Date</t>
  </si>
  <si>
    <t>Year</t>
  </si>
  <si>
    <t>Month</t>
  </si>
  <si>
    <t>bh_ndgwa__TO__softening</t>
  </si>
  <si>
    <t>guest_house__TO__consumption</t>
  </si>
  <si>
    <t>guest_house__TO__septic</t>
  </si>
  <si>
    <t>ndcd__TO__dust_suppression</t>
  </si>
  <si>
    <t>ndcd__TO__evaporation</t>
  </si>
  <si>
    <t>ndcd__TO__ndcd</t>
  </si>
  <si>
    <t>ndcd__TO__north_decline</t>
  </si>
  <si>
    <t>ndcd__TO__spill</t>
  </si>
  <si>
    <t>north_decline__TO__ndcd</t>
  </si>
  <si>
    <t>north_shaft__TO__ndcd</t>
  </si>
  <si>
    <t>offices__TO__consumption2</t>
  </si>
  <si>
    <t>offices__TO__sewage</t>
  </si>
  <si>
    <t>rainfall__TO__ndcd</t>
  </si>
  <si>
    <t>reservoir__TO__offices</t>
  </si>
  <si>
    <t>sewage__TO__junction_127_1208_365</t>
  </si>
  <si>
    <t>sewage__TO__losses2</t>
  </si>
  <si>
    <t>softening__TO__guest_house</t>
  </si>
  <si>
    <t>softening__TO__losses</t>
  </si>
  <si>
    <t>softening__TO__reservoir</t>
  </si>
  <si>
    <t>UG2S Water Balance Template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</si>
  <si>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</si>
  <si>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</si>
  <si>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</si>
  <si>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</si>
  <si>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</si>
  <si>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</si>
  <si>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</si>
  <si>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</si>
  <si>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</si>
  <si>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</si>
  <si>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</si>
  <si>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</si>
  <si>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</si>
  <si>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</si>
  <si>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</si>
  <si>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</si>
  <si>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</si>
  <si>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ug2s_borehole__TO__ug2s_soft</t>
  </si>
  <si>
    <t>ug2s_mdcdg__TO__junction_130_1229_1793</t>
  </si>
  <si>
    <t>ug2s_mdcdg__TO__ug2s_mdcd_dust</t>
  </si>
  <si>
    <t>ug2s_mdcdg__TO__ug2s_mdcd_evap</t>
  </si>
  <si>
    <t>ug2s_mdcdg__TO__ug2s_mdcd_spill</t>
  </si>
  <si>
    <t>ug2s_mdcdg__TO__ug2s_mdcdg</t>
  </si>
  <si>
    <t>ug2s_mdcdg__TO__ug2s_sd</t>
  </si>
  <si>
    <t>ug2s_offices__TO__ug2s_consumption</t>
  </si>
  <si>
    <t>ug2s_offices__TO__ug2s_stp</t>
  </si>
  <si>
    <t>ug2s_rainfall__TO__ug2s_mdcdg</t>
  </si>
  <si>
    <t>ug2s_res__TO__ug2s_offices</t>
  </si>
  <si>
    <t>ug2s_sd__TO__ug2s_mdcdg</t>
  </si>
  <si>
    <t>ug2s_sdsa__TO__ug2s_mdcdg</t>
  </si>
  <si>
    <t>ug2s_soft__TO__ug2s_res</t>
  </si>
  <si>
    <t>ug2s_soft__TO__ug2s_stp_losses</t>
  </si>
  <si>
    <t>ug2s_stp__TO__ug2s_mdcdg</t>
  </si>
  <si>
    <t>ug2s_stp__TO__ug2s_soft_losses</t>
  </si>
  <si>
    <t>UG2P Water Balance Template</t>
  </si>
  <si>
    <t>Unnamed: 20</t>
  </si>
  <si>
    <t>Unnamed: 21</t>
  </si>
  <si>
    <t>Unnamed: 22</t>
  </si>
  <si>
    <t>Unnamed: 23</t>
  </si>
  <si>
    <t>Unnamed: 24</t>
  </si>
  <si>
    <t>junction_134_1193_2880__TO__ug2plant_ug2p_plant</t>
  </si>
  <si>
    <t>ug2plant_cpgwa_boreholes__TO__ug2plant_ug2p_soft</t>
  </si>
  <si>
    <t>ug2plant_cprwsd1__TO__ug2plant_ug2p_plant</t>
  </si>
  <si>
    <t>ug2plant_ug2p_off__TO__ug2plant_ug2p_off_consumption</t>
  </si>
  <si>
    <t>ug2plant_ug2p_off__TO__ug2plant_ug2p_stp</t>
  </si>
  <si>
    <t>ug2plant_ug2p_ore_water__TO__ug2plant_ug2p_plant</t>
  </si>
  <si>
    <t>ug2plant_ug2p_plant__TO__junction_133_288_2922</t>
  </si>
  <si>
    <t>ug2plant_ug2p_plant__TO__junction_135_1229_2857</t>
  </si>
  <si>
    <t>ug2plant_ug2p_plant__TO__ug2plant_ug2p_plant_losses</t>
  </si>
  <si>
    <t>ug2plant_ug2p_plant__TO__ug2plant_ug2p_plant_product</t>
  </si>
  <si>
    <t>ug2plant_ug2p_plant__TO__ug2plant_ug2pcd1</t>
  </si>
  <si>
    <t>ug2plant_ug2p_res__TO__ug2plant_ug2p_off</t>
  </si>
  <si>
    <t>ug2plant_ug2p_rivers__TO__ug2plant_cprwsd1</t>
  </si>
  <si>
    <t>ug2plant_ug2p_soft__TO__ug2plant_ug2p_res</t>
  </si>
  <si>
    <t>ug2plant_ug2p_soft__TO__ug2plant_ug2p_stp_losses</t>
  </si>
  <si>
    <t>ug2plant_ug2p_stp__TO__ug2plant_ug2p_plant</t>
  </si>
  <si>
    <t>ug2plant_ug2p_stp__TO__ug2plant_ug2p_soft_losses</t>
  </si>
  <si>
    <t>ug2plant_ug2pcd1__TO__ug2plant_ug2pcd1</t>
  </si>
  <si>
    <t>ug2plant_ug2pcd1__TO__ug2plant_ug2pcd1_evap</t>
  </si>
  <si>
    <t>ug2plant_ug2pcd1__TO__ug2plant_ug2pcd1_spill</t>
  </si>
  <si>
    <t>ug2plant_ug2pcd1_rain__TO__ug2plant_ug2pcd1</t>
  </si>
  <si>
    <t>MERN Water Balance Template</t>
  </si>
  <si>
    <t>bh_mcgwa__TO__softening_merensky</t>
  </si>
  <si>
    <t>merensky_north_decline__TO__ndcd_merensky</t>
  </si>
  <si>
    <t>merensky_north_shaft__TO__ndcd_merensky</t>
  </si>
  <si>
    <t>ndcd_merensky__TO__dust_suppression_merensky</t>
  </si>
  <si>
    <t>ndcd_merensky__TO__evaporation_merensky</t>
  </si>
  <si>
    <t>ndcd_merensky__TO__junction_128_1229_842</t>
  </si>
  <si>
    <t>ndcd_merensky__TO__merensky_north_decline</t>
  </si>
  <si>
    <t>ndcd_merensky__TO__ndcd_merensky</t>
  </si>
  <si>
    <t>ndcd_merensky__TO__spill_merensky</t>
  </si>
  <si>
    <t>offices_merensky__TO__consumption_merensky</t>
  </si>
  <si>
    <t>offices_merensky__TO__sewage</t>
  </si>
  <si>
    <t>rainfall_merensky__TO__ndcd_merensky</t>
  </si>
  <si>
    <t>softening_merensky__TO__losses_merensky</t>
  </si>
  <si>
    <t>softening_merensky__TO__offices_merensky</t>
  </si>
  <si>
    <t>MERP Water Balance Template</t>
  </si>
  <si>
    <t>Unnamed: 25</t>
  </si>
  <si>
    <t>merplant_merp_off__TO__merplant_merp_off_consumption</t>
  </si>
  <si>
    <t>merplant_merp_off__TO__merplant_merp_stp</t>
  </si>
  <si>
    <t>merplant_merp_ore_water__TO__merplant_merp_plant</t>
  </si>
  <si>
    <t>merplant_merp_plant__TO__merplant_merp_plant_losses</t>
  </si>
  <si>
    <t>merplant_merp_plant__TO__merplant_merp_plant_product</t>
  </si>
  <si>
    <t>merplant_merp_plant__TO__merplant_mpswd12</t>
  </si>
  <si>
    <t>merplant_merp_plant__TO__oldtsf_old_tsf</t>
  </si>
  <si>
    <t>merplant_merp_res__TO__merplant_merp_off</t>
  </si>
  <si>
    <t>merplant_merp_soft__TO__merplant_merp_off_losses</t>
  </si>
  <si>
    <t>merplant_merp_soft__TO__merplant_merp_res</t>
  </si>
  <si>
    <t>merplant_merp_stp__TO__merplant_merp_stp_losses</t>
  </si>
  <si>
    <t>merplant_merp_stp__TO__merplant_mpswd12</t>
  </si>
  <si>
    <t>merplant_mpgwa_boreholes__TO__merplant_merp_soft</t>
  </si>
  <si>
    <t>merplant_mprwsd1__TO__merplant_merp_plant</t>
  </si>
  <si>
    <t>merplant_mprwsd1__TO__oldtsf_trtd</t>
  </si>
  <si>
    <t>merplant_mprwsd1_rivers__TO__merplant_mprwsd1</t>
  </si>
  <si>
    <t>merplant_mpswd12__TO__merplant_merp_plant</t>
  </si>
  <si>
    <t>merplant_mpswd12__TO__merplant_mpswd12</t>
  </si>
  <si>
    <t>merplant_mpswd12__TO__merplant_mpswd12_dust</t>
  </si>
  <si>
    <t>merplant_mpswd12__TO__merplant_mpswd12_evap</t>
  </si>
  <si>
    <t>merplant_mpswd12__TO__merplant_mpswd12_spill</t>
  </si>
  <si>
    <t>merplant_mpswd12_rain__TO__merplant_mpswd12</t>
  </si>
  <si>
    <t>ndcd__TO__merplant_mprwsd1</t>
  </si>
  <si>
    <t>MERS Water Balance Template</t>
  </si>
  <si>
    <t>mers_borehole__TO__mers_soft</t>
  </si>
  <si>
    <t>mers_mdcdg__TO__junction_131_1229_2072</t>
  </si>
  <si>
    <t>mers_mdcdg__TO__mers_mdcd_dust</t>
  </si>
  <si>
    <t>mers_mdcdg__TO__mers_mdcd_evap</t>
  </si>
  <si>
    <t>mers_mdcdg__TO__mers_mdcd_spill</t>
  </si>
  <si>
    <t>mers_mdcdg__TO__mers_mdcdg</t>
  </si>
  <si>
    <t>mers_mdcdg__TO__mers_sd</t>
  </si>
  <si>
    <t>mers_mdcdg__TO__ug2s_mdcdg</t>
  </si>
  <si>
    <t>mers_offices__TO__mers_consumption</t>
  </si>
  <si>
    <t>mers_offices__TO__ug2s_stp</t>
  </si>
  <si>
    <t>mers_rainfall__TO__mers_mdcdg</t>
  </si>
  <si>
    <t>mers_sd__TO__mers_mdcdg</t>
  </si>
  <si>
    <t>mers_sdsa__TO__ug2s_mdcdg</t>
  </si>
  <si>
    <t>mers_soft__TO__mers_offices</t>
  </si>
  <si>
    <t>mers_soft__TO__mers_soft_losses</t>
  </si>
  <si>
    <t>OLDTSF Water Balance Template</t>
  </si>
  <si>
    <t>Unnamed: 26</t>
  </si>
  <si>
    <t>Unnamed: 27</t>
  </si>
  <si>
    <t>Unnamed: 28</t>
  </si>
  <si>
    <t>Unnamed: 29</t>
  </si>
  <si>
    <t>Unnamed: 30</t>
  </si>
  <si>
    <t>junction_132_288_2496__TO__oldtsf_new_tsf</t>
  </si>
  <si>
    <t>oldtsf_gwa_boreholes__TO__oldtsf_offices</t>
  </si>
  <si>
    <t>oldtsf_new_tsf__TO__oldtsf_new_tsf</t>
  </si>
  <si>
    <t>oldtsf_new_tsf__TO__oldtsf_new_tsf_evap</t>
  </si>
  <si>
    <t>oldtsf_new_tsf__TO__oldtsf_new_tsf_interstitial</t>
  </si>
  <si>
    <t>oldtsf_new_tsf__TO__oldtsf_new_tsf_seepage</t>
  </si>
  <si>
    <t>oldtsf_new_tsf__TO__oldtsf_nt_rwd</t>
  </si>
  <si>
    <t>oldtsf_new_tsf_rainrun__TO__oldtsf_new_tsf</t>
  </si>
  <si>
    <t>oldtsf_nt_rwd__TO__oldtsf_new_tsf</t>
  </si>
  <si>
    <t>oldtsf_nt_rwd__TO__oldtsf_nt_rwd</t>
  </si>
  <si>
    <t>oldtsf_nt_rwd__TO__oldtsf_nt_rwd_evap</t>
  </si>
  <si>
    <t>oldtsf_nt_rwd__TO__oldtsf_nt_rwd_spill</t>
  </si>
  <si>
    <t>oldtsf_nt_rwd_rain__TO__oldtsf_nt_rwd</t>
  </si>
  <si>
    <t>oldtsf_offices__TO__oldtsf_off_consumption</t>
  </si>
  <si>
    <t>oldtsf_offices__TO__oldtsf_off_septic</t>
  </si>
  <si>
    <t>oldtsf_old_tsf__TO__oldtsf_old_tsf</t>
  </si>
  <si>
    <t>oldtsf_old_tsf__TO__oldtsf_old_tsf_evap</t>
  </si>
  <si>
    <t>oldtsf_old_tsf__TO__oldtsf_old_tsf_interstitial</t>
  </si>
  <si>
    <t>oldtsf_old_tsf__TO__oldtsf_old_tsf_seepage</t>
  </si>
  <si>
    <t>oldtsf_old_tsf__TO__oldtsf_trtd</t>
  </si>
  <si>
    <t>oldtsf_old_tsf_rainrun__TO__oldtsf_old_tsf</t>
  </si>
  <si>
    <t>oldtsf_trtd__TO__oldtsf_old_tsf</t>
  </si>
  <si>
    <t>oldtsf_trtd__TO__oldtsf_trtd</t>
  </si>
  <si>
    <t>oldtsf_trtd__TO__oldtsf_trtd_evap</t>
  </si>
  <si>
    <t>oldtsf_trtd__TO__oldtsf_trtd_spill</t>
  </si>
  <si>
    <t>oldtsf_trtd_rain__TO__oldtsf_trtd</t>
  </si>
  <si>
    <t>STOCKPILE Water Balance Template</t>
  </si>
  <si>
    <t>spcd1__TO__junction_129_1140_1242</t>
  </si>
  <si>
    <t>spcd1__TO__spcd1</t>
  </si>
  <si>
    <t>spcd1__TO__stockpile_dust_suppression</t>
  </si>
  <si>
    <t>spcd1__TO__stockpile_evaporation2</t>
  </si>
  <si>
    <t>spcd1__TO__stockpile_spill</t>
  </si>
  <si>
    <t>stockpile_area__TO__spcd1</t>
  </si>
  <si>
    <t>stockpile_area__TO__stockpile_area</t>
  </si>
  <si>
    <t>stockpile_area__TO__stockpile_evaporation</t>
  </si>
  <si>
    <t>stockpile_bh_gwa__TO__stockpile_offices</t>
  </si>
  <si>
    <t>stockpile_offices__TO__stockpile_consumption</t>
  </si>
  <si>
    <t>stockpile_offices__TO__stockpile_septic</t>
  </si>
  <si>
    <t>stockpile_rainfall__TO__stockpile_area</t>
  </si>
  <si>
    <t>stockpile_rainfall_spcd1__TO__spcd1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</si>
</sst>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3"/>
  <sheetViews>
    <sheetView workbookViewId="0"/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6</v>
      </c>
      <c r="B4" t="s">
        <v>7</v>
      </c>
      <c r="C4" t="s">
        <v>8</v>
      </c>
    </row>
    <row r="5" spans="1:3" x14ac:dyDescent="0.3">
      <c r="A5" t="s">
        <v>9</v>
      </c>
      <c r="B5" t="s">
        <v>10</v>
      </c>
      <c r="C5" t="s">
        <v>11</v>
      </c>
    </row>
    <row r="6" spans="1:3" x14ac:dyDescent="0.3">
      <c r="A6" t="s">
        <v>12</v>
      </c>
      <c r="B6" t="s">
        <v>13</v>
      </c>
      <c r="C6" t="s">
        <v>11</v>
      </c>
    </row>
    <row r="7" spans="1:3" x14ac:dyDescent="0.3">
      <c r="A7" t="s">
        <v>14</v>
      </c>
      <c r="B7" t="s">
        <v>13</v>
      </c>
      <c r="C7" t="s">
        <v>11</v>
      </c>
    </row>
    <row r="8" spans="1:3" x14ac:dyDescent="0.3">
      <c r="A8" t="s">
        <v>15</v>
      </c>
      <c r="B8" t="s">
        <v>13</v>
      </c>
      <c r="C8" t="s">
        <v>8</v>
      </c>
    </row>
    <row r="9" spans="1:3" x14ac:dyDescent="0.3">
      <c r="A9" t="s">
        <v>16</v>
      </c>
      <c r="B9" t="s">
        <v>17</v>
      </c>
      <c r="C9" t="s">
        <v>11</v>
      </c>
    </row>
    <row r="10" spans="1:3" x14ac:dyDescent="0.3">
      <c r="A10" t="s">
        <v>18</v>
      </c>
      <c r="B10" t="s">
        <v>17</v>
      </c>
      <c r="C10" t="s">
        <v>8</v>
      </c>
    </row>
    <row r="11" spans="1:3" x14ac:dyDescent="0.3">
      <c r="A11" t="s">
        <v>19</v>
      </c>
      <c r="B11" t="s">
        <v>20</v>
      </c>
      <c r="C11" t="s">
        <v>11</v>
      </c>
    </row>
    <row r="12" spans="1:3" x14ac:dyDescent="0.3">
      <c r="A12" t="s">
        <v>21</v>
      </c>
      <c r="B12" t="s">
        <v>20</v>
      </c>
      <c r="C12" t="s">
        <v>8</v>
      </c>
    </row>
    <row r="13" spans="1:3" x14ac:dyDescent="0.3">
      <c r="A13" t="s">
        <v>22</v>
      </c>
      <c r="B13" t="s">
        <v>23</v>
      </c>
      <c r="C13" t="s">
        <v>11</v>
      </c>
    </row>
    <row r="14" spans="1:3" x14ac:dyDescent="0.3">
      <c r="A14" t="s">
        <v>24</v>
      </c>
      <c r="B14" t="s">
        <v>25</v>
      </c>
      <c r="C14" t="s">
        <v>11</v>
      </c>
    </row>
    <row r="15" spans="1:3" x14ac:dyDescent="0.3">
      <c r="A15" t="s">
        <v>26</v>
      </c>
      <c r="B15" t="s">
        <v>25</v>
      </c>
      <c r="C15" t="s">
        <v>11</v>
      </c>
    </row>
    <row r="16" spans="1:3" x14ac:dyDescent="0.3">
      <c r="A16" t="s">
        <v>27</v>
      </c>
      <c r="B16" t="s">
        <v>25</v>
      </c>
      <c r="C16" t="s">
        <v>8</v>
      </c>
    </row>
    <row r="17" spans="1:3" x14ac:dyDescent="0.3">
      <c r="A17" t="s">
        <v>28</v>
      </c>
      <c r="B17" t="s">
        <v>29</v>
      </c>
      <c r="C17" t="s">
        <v>8</v>
      </c>
    </row>
    <row r="18" spans="1:3" x14ac:dyDescent="0.3">
      <c r="A18" t="s">
        <v>30</v>
      </c>
      <c r="B18" t="s">
        <v>31</v>
      </c>
      <c r="C18" t="s">
        <v>8</v>
      </c>
    </row>
    <row r="19" spans="1:3" x14ac:dyDescent="0.3">
      <c r="A19" t="s">
        <v>32</v>
      </c>
      <c r="B19" t="s">
        <v>33</v>
      </c>
      <c r="C19" t="s">
        <v>34</v>
      </c>
    </row>
    <row r="20" spans="1:3" x14ac:dyDescent="0.3">
      <c r="A20" t="s">
        <v>35</v>
      </c>
      <c r="B20" t="s">
        <v>13</v>
      </c>
      <c r="C20" t="s">
        <v>34</v>
      </c>
    </row>
    <row r="21" spans="1:3" x14ac:dyDescent="0.3">
      <c r="A21" t="s">
        <v>36</v>
      </c>
      <c r="B21" t="s">
        <v>25</v>
      </c>
      <c r="C21" t="s">
        <v>34</v>
      </c>
    </row>
    <row r="22" spans="1:3" x14ac:dyDescent="0.3">
      <c r="A22" t="s">
        <v>37</v>
      </c>
      <c r="B22" t="s">
        <v>38</v>
      </c>
      <c r="C22" t="s">
        <v>34</v>
      </c>
    </row>
    <row r="23" spans="1:3" x14ac:dyDescent="0.3">
      <c r="A23" t="s">
        <v>39</v>
      </c>
      <c r="B23" t="s">
        <v>40</v>
      </c>
      <c r="C23" t="s">
        <v>34</v>
      </c>
    </row>
    <row r="24" spans="1:3" x14ac:dyDescent="0.3">
      <c r="A24" t="s">
        <v>41</v>
      </c>
      <c r="B24" t="s">
        <v>25</v>
      </c>
      <c r="C24" t="s">
        <v>34</v>
      </c>
    </row>
    <row r="25" spans="1:3" x14ac:dyDescent="0.3">
      <c r="A25" t="s">
        <v>42</v>
      </c>
      <c r="B25" t="s">
        <v>43</v>
      </c>
      <c r="C25" t="s">
        <v>34</v>
      </c>
    </row>
    <row r="26" spans="1:3" x14ac:dyDescent="0.3">
      <c r="A26" t="s">
        <v>44</v>
      </c>
      <c r="B26" t="s">
        <v>45</v>
      </c>
      <c r="C26" t="s">
        <v>34</v>
      </c>
    </row>
    <row r="27" spans="1:3" x14ac:dyDescent="0.3">
      <c r="A27" t="s">
        <v>46</v>
      </c>
      <c r="B27" t="s">
        <v>47</v>
      </c>
      <c r="C27" t="s">
        <v>34</v>
      </c>
    </row>
    <row r="28" spans="1:3" x14ac:dyDescent="0.3">
      <c r="A28" t="s">
        <v>48</v>
      </c>
      <c r="B28" t="s">
        <v>49</v>
      </c>
      <c r="C28" t="s">
        <v>34</v>
      </c>
    </row>
    <row r="29" spans="1:3" x14ac:dyDescent="0.3">
      <c r="A29" t="s">
        <v>50</v>
      </c>
      <c r="B29" t="s">
        <v>25</v>
      </c>
      <c r="C29" t="s">
        <v>34</v>
      </c>
    </row>
    <row r="30" spans="1:3" x14ac:dyDescent="0.3">
      <c r="A30" t="s">
        <v>51</v>
      </c>
      <c r="B30" t="s">
        <v>52</v>
      </c>
      <c r="C30" t="s">
        <v>34</v>
      </c>
    </row>
    <row r="31" spans="1:3" x14ac:dyDescent="0.3">
      <c r="A31" t="s">
        <v>53</v>
      </c>
      <c r="B31" t="s">
        <v>54</v>
      </c>
      <c r="C31" t="s">
        <v>34</v>
      </c>
    </row>
    <row r="32" spans="1:3" x14ac:dyDescent="0.3">
      <c r="A32" t="s">
        <v>55</v>
      </c>
      <c r="B32" t="s">
        <v>56</v>
      </c>
      <c r="C32" t="s">
        <v>34</v>
      </c>
    </row>
    <row r="33" spans="1:3" x14ac:dyDescent="0.3">
      <c r="A33" t="s">
        <v>57</v>
      </c>
      <c r="B33" t="s">
        <v>58</v>
      </c>
      <c r="C33" t="s">
        <v>34</v>
      </c>
    </row>
    <row r="34" spans="1:3" x14ac:dyDescent="0.3">
      <c r="A34" t="s">
        <v>59</v>
      </c>
      <c r="B34" t="s">
        <v>17</v>
      </c>
      <c r="C34" t="s">
        <v>34</v>
      </c>
    </row>
    <row r="35" spans="1:3" x14ac:dyDescent="0.3">
      <c r="A35" t="s">
        <v>60</v>
      </c>
      <c r="B35" t="s">
        <v>20</v>
      </c>
      <c r="C35" t="s">
        <v>34</v>
      </c>
    </row>
    <row r="36" spans="1:3" x14ac:dyDescent="0.3">
      <c r="A36" t="s">
        <v>61</v>
      </c>
      <c r="B36" t="s">
        <v>62</v>
      </c>
      <c r="C36" t="s">
        <v>34</v>
      </c>
    </row>
    <row r="37" spans="1:3" x14ac:dyDescent="0.3">
      <c r="A37" t="s">
        <v>63</v>
      </c>
      <c r="B37" t="s">
        <v>64</v>
      </c>
      <c r="C37" t="s">
        <v>34</v>
      </c>
    </row>
    <row r="38" spans="1:3" x14ac:dyDescent="0.3">
      <c r="A38" t="s">
        <v>65</v>
      </c>
      <c r="B38" t="s">
        <v>66</v>
      </c>
      <c r="C38" t="s">
        <v>67</v>
      </c>
    </row>
    <row r="39" spans="1:3" x14ac:dyDescent="0.3">
      <c r="A39" t="s">
        <v>68</v>
      </c>
      <c r="B39" t="s">
        <v>13</v>
      </c>
      <c r="C39" t="s">
        <v>67</v>
      </c>
    </row>
    <row r="40" spans="1:3" x14ac:dyDescent="0.3">
      <c r="A40" t="s">
        <v>69</v>
      </c>
      <c r="B40" t="s">
        <v>70</v>
      </c>
      <c r="C40" t="s">
        <v>67</v>
      </c>
    </row>
    <row r="41" spans="1:3" x14ac:dyDescent="0.3">
      <c r="A41" t="s">
        <v>71</v>
      </c>
      <c r="B41" t="s">
        <v>20</v>
      </c>
      <c r="C41" t="s">
        <v>67</v>
      </c>
    </row>
    <row r="42" spans="1:3" x14ac:dyDescent="0.3">
      <c r="A42" t="s">
        <v>72</v>
      </c>
      <c r="B42" t="s">
        <v>64</v>
      </c>
      <c r="C42" t="s">
        <v>67</v>
      </c>
    </row>
    <row r="43" spans="1:3" x14ac:dyDescent="0.3">
      <c r="A43" t="s">
        <v>73</v>
      </c>
      <c r="B43" t="s">
        <v>74</v>
      </c>
      <c r="C43" t="s">
        <v>67</v>
      </c>
    </row>
    <row r="44" spans="1:3" x14ac:dyDescent="0.3">
      <c r="A44" t="s">
        <v>75</v>
      </c>
      <c r="B44" t="s">
        <v>33</v>
      </c>
      <c r="C44" t="s">
        <v>67</v>
      </c>
    </row>
    <row r="45" spans="1:3" x14ac:dyDescent="0.3">
      <c r="A45" t="s">
        <v>76</v>
      </c>
      <c r="B45" t="s">
        <v>77</v>
      </c>
      <c r="C45" t="s">
        <v>67</v>
      </c>
    </row>
    <row r="46" spans="1:3" x14ac:dyDescent="0.3">
      <c r="A46" t="s">
        <v>78</v>
      </c>
      <c r="B46" t="s">
        <v>79</v>
      </c>
      <c r="C46" t="s">
        <v>67</v>
      </c>
    </row>
    <row r="47" spans="1:3" x14ac:dyDescent="0.3">
      <c r="A47" t="s">
        <v>80</v>
      </c>
      <c r="B47" t="s">
        <v>81</v>
      </c>
      <c r="C47" t="s">
        <v>67</v>
      </c>
    </row>
    <row r="48" spans="1:3" x14ac:dyDescent="0.3">
      <c r="A48" t="s">
        <v>82</v>
      </c>
      <c r="B48" t="s">
        <v>83</v>
      </c>
      <c r="C48" t="s">
        <v>67</v>
      </c>
    </row>
    <row r="49" spans="1:3" x14ac:dyDescent="0.3">
      <c r="A49" t="s">
        <v>84</v>
      </c>
      <c r="B49" t="s">
        <v>25</v>
      </c>
      <c r="C49" t="s">
        <v>67</v>
      </c>
    </row>
    <row r="50" spans="1:3" x14ac:dyDescent="0.3">
      <c r="A50" t="s">
        <v>85</v>
      </c>
      <c r="B50" t="s">
        <v>86</v>
      </c>
      <c r="C50" t="s">
        <v>11</v>
      </c>
    </row>
    <row r="51" spans="1:3" x14ac:dyDescent="0.3">
      <c r="A51" t="s">
        <v>87</v>
      </c>
      <c r="B51" t="s">
        <v>88</v>
      </c>
      <c r="C51" t="s">
        <v>8</v>
      </c>
    </row>
    <row r="52" spans="1:3" x14ac:dyDescent="0.3">
      <c r="A52" t="s">
        <v>89</v>
      </c>
      <c r="B52" t="s">
        <v>90</v>
      </c>
      <c r="C52" t="s">
        <v>11</v>
      </c>
    </row>
    <row r="53" spans="1:3" x14ac:dyDescent="0.3">
      <c r="A53" t="s">
        <v>91</v>
      </c>
      <c r="B53" t="s">
        <v>92</v>
      </c>
      <c r="C53" t="s">
        <v>11</v>
      </c>
    </row>
    <row r="54" spans="1:3" x14ac:dyDescent="0.3">
      <c r="A54" t="s">
        <v>93</v>
      </c>
      <c r="B54" t="s">
        <v>33</v>
      </c>
      <c r="C54" t="s">
        <v>11</v>
      </c>
    </row>
    <row r="55" spans="1:3" x14ac:dyDescent="0.3">
      <c r="A55" t="s">
        <v>94</v>
      </c>
      <c r="B55" t="s">
        <v>33</v>
      </c>
      <c r="C55" t="s">
        <v>8</v>
      </c>
    </row>
    <row r="56" spans="1:3" x14ac:dyDescent="0.3">
      <c r="A56" t="s">
        <v>95</v>
      </c>
      <c r="B56" t="s">
        <v>96</v>
      </c>
      <c r="C56" t="s">
        <v>97</v>
      </c>
    </row>
    <row r="57" spans="1:3" x14ac:dyDescent="0.3">
      <c r="A57" t="s">
        <v>98</v>
      </c>
      <c r="B57" t="s">
        <v>99</v>
      </c>
      <c r="C57" t="s">
        <v>97</v>
      </c>
    </row>
    <row r="58" spans="1:3" x14ac:dyDescent="0.3">
      <c r="A58" t="s">
        <v>100</v>
      </c>
      <c r="B58" t="s">
        <v>20</v>
      </c>
      <c r="C58" t="s">
        <v>97</v>
      </c>
    </row>
    <row r="59" spans="1:3" x14ac:dyDescent="0.3">
      <c r="A59" t="s">
        <v>101</v>
      </c>
      <c r="B59" t="s">
        <v>102</v>
      </c>
      <c r="C59" t="s">
        <v>97</v>
      </c>
    </row>
    <row r="60" spans="1:3" x14ac:dyDescent="0.3">
      <c r="A60" t="s">
        <v>103</v>
      </c>
      <c r="B60" t="s">
        <v>104</v>
      </c>
      <c r="C60" t="s">
        <v>97</v>
      </c>
    </row>
    <row r="61" spans="1:3" x14ac:dyDescent="0.3">
      <c r="A61" t="s">
        <v>105</v>
      </c>
      <c r="B61" t="s">
        <v>106</v>
      </c>
      <c r="C61" t="s">
        <v>97</v>
      </c>
    </row>
    <row r="62" spans="1:3" x14ac:dyDescent="0.3">
      <c r="A62" t="s">
        <v>107</v>
      </c>
      <c r="B62" t="s">
        <v>108</v>
      </c>
      <c r="C62" t="s">
        <v>97</v>
      </c>
    </row>
    <row r="63" spans="1:3" x14ac:dyDescent="0.3">
      <c r="A63" t="s">
        <v>109</v>
      </c>
      <c r="B63" t="s">
        <v>20</v>
      </c>
      <c r="C63" t="s">
        <v>97</v>
      </c>
    </row>
    <row r="64" spans="1:3" x14ac:dyDescent="0.3">
      <c r="A64" t="s">
        <v>110</v>
      </c>
      <c r="B64" t="s">
        <v>111</v>
      </c>
      <c r="C64" t="s">
        <v>97</v>
      </c>
    </row>
    <row r="65" spans="1:3" x14ac:dyDescent="0.3">
      <c r="A65" t="s">
        <v>112</v>
      </c>
      <c r="B65" t="s">
        <v>64</v>
      </c>
      <c r="C65" t="s">
        <v>11</v>
      </c>
    </row>
    <row r="66" spans="1:3" x14ac:dyDescent="0.3">
      <c r="A66" t="s">
        <v>113</v>
      </c>
      <c r="B66" t="s">
        <v>13</v>
      </c>
      <c r="C66" t="s">
        <v>11</v>
      </c>
    </row>
    <row r="67" spans="1:3" x14ac:dyDescent="0.3">
      <c r="A67" t="s">
        <v>114</v>
      </c>
      <c r="B67" t="s">
        <v>115</v>
      </c>
      <c r="C67" t="s">
        <v>11</v>
      </c>
    </row>
    <row r="68" spans="1:3" x14ac:dyDescent="0.3">
      <c r="A68" t="s">
        <v>116</v>
      </c>
      <c r="B68" t="s">
        <v>33</v>
      </c>
      <c r="C68" t="s">
        <v>11</v>
      </c>
    </row>
    <row r="69" spans="1:3" x14ac:dyDescent="0.3">
      <c r="A69" t="s">
        <v>117</v>
      </c>
      <c r="B69" t="s">
        <v>118</v>
      </c>
      <c r="C69" t="s">
        <v>97</v>
      </c>
    </row>
    <row r="70" spans="1:3" x14ac:dyDescent="0.3">
      <c r="A70" t="s">
        <v>119</v>
      </c>
      <c r="B70" t="s">
        <v>20</v>
      </c>
      <c r="C70" t="s">
        <v>97</v>
      </c>
    </row>
    <row r="71" spans="1:3" x14ac:dyDescent="0.3">
      <c r="A71" t="s">
        <v>120</v>
      </c>
      <c r="B71" t="s">
        <v>102</v>
      </c>
      <c r="C71" t="s">
        <v>97</v>
      </c>
    </row>
    <row r="72" spans="1:3" x14ac:dyDescent="0.3">
      <c r="A72" t="s">
        <v>121</v>
      </c>
      <c r="B72" t="s">
        <v>104</v>
      </c>
      <c r="C72" t="s">
        <v>97</v>
      </c>
    </row>
    <row r="73" spans="1:3" x14ac:dyDescent="0.3">
      <c r="A73" t="s">
        <v>122</v>
      </c>
      <c r="B73" t="s">
        <v>106</v>
      </c>
      <c r="C73" t="s">
        <v>97</v>
      </c>
    </row>
    <row r="74" spans="1:3" x14ac:dyDescent="0.3">
      <c r="A74" t="s">
        <v>123</v>
      </c>
      <c r="B74" t="s">
        <v>124</v>
      </c>
      <c r="C74" t="s">
        <v>97</v>
      </c>
    </row>
    <row r="75" spans="1:3" x14ac:dyDescent="0.3">
      <c r="A75" t="s">
        <v>125</v>
      </c>
      <c r="B75" t="s">
        <v>20</v>
      </c>
      <c r="C75" t="s">
        <v>97</v>
      </c>
    </row>
    <row r="76" spans="1:3" x14ac:dyDescent="0.3">
      <c r="A76" t="s">
        <v>126</v>
      </c>
      <c r="B76" t="s">
        <v>111</v>
      </c>
      <c r="C76" t="s">
        <v>97</v>
      </c>
    </row>
    <row r="77" spans="1:3" x14ac:dyDescent="0.3">
      <c r="A77" t="s">
        <v>127</v>
      </c>
      <c r="B77" t="s">
        <v>64</v>
      </c>
      <c r="C77" t="s">
        <v>11</v>
      </c>
    </row>
    <row r="78" spans="1:3" x14ac:dyDescent="0.3">
      <c r="A78" t="s">
        <v>128</v>
      </c>
      <c r="B78" t="s">
        <v>62</v>
      </c>
      <c r="C78" t="s">
        <v>11</v>
      </c>
    </row>
    <row r="79" spans="1:3" x14ac:dyDescent="0.3">
      <c r="A79" t="s">
        <v>129</v>
      </c>
      <c r="B79" t="s">
        <v>62</v>
      </c>
      <c r="C79" t="s">
        <v>8</v>
      </c>
    </row>
    <row r="80" spans="1:3" x14ac:dyDescent="0.3">
      <c r="A80" t="s">
        <v>130</v>
      </c>
      <c r="B80" t="s">
        <v>45</v>
      </c>
      <c r="C80" t="s">
        <v>11</v>
      </c>
    </row>
    <row r="81" spans="1:3" x14ac:dyDescent="0.3">
      <c r="A81" t="s">
        <v>131</v>
      </c>
      <c r="B81" t="s">
        <v>115</v>
      </c>
      <c r="C81" t="s">
        <v>11</v>
      </c>
    </row>
    <row r="82" spans="1:3" x14ac:dyDescent="0.3">
      <c r="A82" t="s">
        <v>132</v>
      </c>
      <c r="B82" t="s">
        <v>49</v>
      </c>
      <c r="C82" t="s">
        <v>11</v>
      </c>
    </row>
    <row r="83" spans="1:3" x14ac:dyDescent="0.3">
      <c r="A83" t="s">
        <v>133</v>
      </c>
      <c r="B83" t="s">
        <v>47</v>
      </c>
      <c r="C83" t="s">
        <v>11</v>
      </c>
    </row>
    <row r="84" spans="1:3" x14ac:dyDescent="0.3">
      <c r="A84" t="s">
        <v>134</v>
      </c>
      <c r="B84" t="s">
        <v>47</v>
      </c>
      <c r="C84" t="s">
        <v>8</v>
      </c>
    </row>
    <row r="85" spans="1:3" x14ac:dyDescent="0.3">
      <c r="A85" t="s">
        <v>135</v>
      </c>
      <c r="B85" t="s">
        <v>136</v>
      </c>
      <c r="C85" t="s">
        <v>137</v>
      </c>
    </row>
    <row r="86" spans="1:3" x14ac:dyDescent="0.3">
      <c r="A86" t="s">
        <v>138</v>
      </c>
      <c r="B86" t="s">
        <v>64</v>
      </c>
      <c r="C86" t="s">
        <v>11</v>
      </c>
    </row>
    <row r="87" spans="1:3" x14ac:dyDescent="0.3">
      <c r="A87" t="s">
        <v>139</v>
      </c>
      <c r="B87" t="s">
        <v>64</v>
      </c>
      <c r="C87" t="s">
        <v>8</v>
      </c>
    </row>
    <row r="88" spans="1:3" x14ac:dyDescent="0.3">
      <c r="A88" t="s">
        <v>140</v>
      </c>
      <c r="B88" t="s">
        <v>141</v>
      </c>
      <c r="C88" t="s">
        <v>137</v>
      </c>
    </row>
    <row r="89" spans="1:3" x14ac:dyDescent="0.3">
      <c r="A89" t="s">
        <v>142</v>
      </c>
      <c r="B89" t="s">
        <v>143</v>
      </c>
      <c r="C89" t="s">
        <v>137</v>
      </c>
    </row>
    <row r="90" spans="1:3" x14ac:dyDescent="0.3">
      <c r="A90" t="s">
        <v>144</v>
      </c>
      <c r="B90" t="s">
        <v>13</v>
      </c>
      <c r="C90" t="s">
        <v>11</v>
      </c>
    </row>
    <row r="91" spans="1:3" x14ac:dyDescent="0.3">
      <c r="A91" t="s">
        <v>145</v>
      </c>
      <c r="B91" t="s">
        <v>17</v>
      </c>
      <c r="C91" t="s">
        <v>11</v>
      </c>
    </row>
    <row r="92" spans="1:3" x14ac:dyDescent="0.3">
      <c r="A92" t="s">
        <v>146</v>
      </c>
      <c r="B92" t="s">
        <v>20</v>
      </c>
      <c r="C92" t="s">
        <v>11</v>
      </c>
    </row>
    <row r="93" spans="1:3" x14ac:dyDescent="0.3">
      <c r="A93" t="s">
        <v>147</v>
      </c>
      <c r="B93" t="s">
        <v>20</v>
      </c>
      <c r="C93" t="s">
        <v>11</v>
      </c>
    </row>
    <row r="94" spans="1:3" x14ac:dyDescent="0.3">
      <c r="A94" t="s">
        <v>148</v>
      </c>
      <c r="B94" t="s">
        <v>33</v>
      </c>
      <c r="C94" t="s">
        <v>11</v>
      </c>
    </row>
    <row r="95" spans="1:3" x14ac:dyDescent="0.3">
      <c r="A95" t="s">
        <v>149</v>
      </c>
      <c r="B95" t="s">
        <v>150</v>
      </c>
      <c r="C95" t="s">
        <v>11</v>
      </c>
    </row>
    <row r="96" spans="1:3" x14ac:dyDescent="0.3">
      <c r="A96" t="s">
        <v>151</v>
      </c>
      <c r="B96" t="s">
        <v>152</v>
      </c>
      <c r="C96" t="s">
        <v>11</v>
      </c>
    </row>
    <row r="97" spans="1:3" x14ac:dyDescent="0.3">
      <c r="A97" t="s">
        <v>153</v>
      </c>
      <c r="B97" t="s">
        <v>115</v>
      </c>
      <c r="C97" t="s">
        <v>11</v>
      </c>
    </row>
    <row r="98" spans="1:3" x14ac:dyDescent="0.3">
      <c r="A98" t="s">
        <v>154</v>
      </c>
      <c r="B98" t="s">
        <v>64</v>
      </c>
      <c r="C98" t="s">
        <v>11</v>
      </c>
    </row>
    <row r="99" spans="1:3" x14ac:dyDescent="0.3">
      <c r="A99" t="s">
        <v>155</v>
      </c>
      <c r="B99" t="s">
        <v>156</v>
      </c>
      <c r="C99" t="s">
        <v>157</v>
      </c>
    </row>
    <row r="100" spans="1:3" x14ac:dyDescent="0.3">
      <c r="A100" t="s">
        <v>158</v>
      </c>
      <c r="B100" t="s">
        <v>159</v>
      </c>
      <c r="C100" t="s">
        <v>157</v>
      </c>
    </row>
    <row r="101" spans="1:3" x14ac:dyDescent="0.3">
      <c r="A101" t="s">
        <v>160</v>
      </c>
      <c r="B101" t="s">
        <v>161</v>
      </c>
      <c r="C101" t="s">
        <v>157</v>
      </c>
    </row>
    <row r="102" spans="1:3" x14ac:dyDescent="0.3">
      <c r="A102" t="s">
        <v>162</v>
      </c>
      <c r="B102" t="s">
        <v>33</v>
      </c>
      <c r="C102" t="s">
        <v>157</v>
      </c>
    </row>
    <row r="103" spans="1:3" x14ac:dyDescent="0.3">
      <c r="A103" t="s">
        <v>163</v>
      </c>
      <c r="B103" t="s">
        <v>13</v>
      </c>
      <c r="C103" t="s">
        <v>11</v>
      </c>
    </row>
    <row r="104" spans="1:3" x14ac:dyDescent="0.3">
      <c r="A104" t="s">
        <v>164</v>
      </c>
      <c r="B104" t="s">
        <v>38</v>
      </c>
      <c r="C104" t="s">
        <v>157</v>
      </c>
    </row>
    <row r="105" spans="1:3" x14ac:dyDescent="0.3">
      <c r="A105" t="s">
        <v>165</v>
      </c>
      <c r="B105" t="s">
        <v>166</v>
      </c>
      <c r="C105" t="s">
        <v>157</v>
      </c>
    </row>
    <row r="106" spans="1:3" x14ac:dyDescent="0.3">
      <c r="A106" t="s">
        <v>167</v>
      </c>
      <c r="B106" t="s">
        <v>25</v>
      </c>
      <c r="C106" t="s">
        <v>11</v>
      </c>
    </row>
    <row r="107" spans="1:3" x14ac:dyDescent="0.3">
      <c r="A107" t="s">
        <v>168</v>
      </c>
      <c r="B107" t="s">
        <v>43</v>
      </c>
      <c r="C107" t="s">
        <v>157</v>
      </c>
    </row>
    <row r="108" spans="1:3" x14ac:dyDescent="0.3">
      <c r="A108" t="s">
        <v>169</v>
      </c>
      <c r="B108" t="s">
        <v>45</v>
      </c>
      <c r="C108" t="s">
        <v>157</v>
      </c>
    </row>
    <row r="109" spans="1:3" x14ac:dyDescent="0.3">
      <c r="A109" t="s">
        <v>170</v>
      </c>
      <c r="B109" t="s">
        <v>56</v>
      </c>
      <c r="C109" t="s">
        <v>157</v>
      </c>
    </row>
    <row r="110" spans="1:3" x14ac:dyDescent="0.3">
      <c r="A110" t="s">
        <v>171</v>
      </c>
      <c r="B110" t="s">
        <v>47</v>
      </c>
      <c r="C110" t="s">
        <v>157</v>
      </c>
    </row>
    <row r="111" spans="1:3" x14ac:dyDescent="0.3">
      <c r="A111" t="s">
        <v>172</v>
      </c>
      <c r="B111" t="s">
        <v>25</v>
      </c>
      <c r="C111" t="s">
        <v>11</v>
      </c>
    </row>
    <row r="112" spans="1:3" x14ac:dyDescent="0.3">
      <c r="A112" t="s">
        <v>173</v>
      </c>
      <c r="B112" t="s">
        <v>49</v>
      </c>
      <c r="C112" t="s">
        <v>157</v>
      </c>
    </row>
    <row r="113" spans="1:3" x14ac:dyDescent="0.3">
      <c r="A113" t="s">
        <v>174</v>
      </c>
      <c r="B113" t="s">
        <v>25</v>
      </c>
      <c r="C113" t="s">
        <v>11</v>
      </c>
    </row>
    <row r="114" spans="1:3" x14ac:dyDescent="0.3">
      <c r="A114" t="s">
        <v>175</v>
      </c>
      <c r="B114" t="s">
        <v>176</v>
      </c>
      <c r="C114" t="s">
        <v>157</v>
      </c>
    </row>
    <row r="115" spans="1:3" x14ac:dyDescent="0.3">
      <c r="A115" t="s">
        <v>177</v>
      </c>
      <c r="B115" t="s">
        <v>17</v>
      </c>
      <c r="C115" t="s">
        <v>157</v>
      </c>
    </row>
    <row r="116" spans="1:3" x14ac:dyDescent="0.3">
      <c r="A116" t="s">
        <v>178</v>
      </c>
      <c r="B116" t="s">
        <v>20</v>
      </c>
      <c r="C116" t="s">
        <v>157</v>
      </c>
    </row>
    <row r="117" spans="1:3" x14ac:dyDescent="0.3">
      <c r="A117" t="s">
        <v>179</v>
      </c>
      <c r="B117" t="s">
        <v>62</v>
      </c>
      <c r="C117" t="s">
        <v>157</v>
      </c>
    </row>
    <row r="118" spans="1:3" x14ac:dyDescent="0.3">
      <c r="A118" t="s">
        <v>180</v>
      </c>
      <c r="B118" t="s">
        <v>64</v>
      </c>
      <c r="C118" t="s">
        <v>11</v>
      </c>
    </row>
    <row r="119" spans="1:3" x14ac:dyDescent="0.3">
      <c r="A119" t="s">
        <v>181</v>
      </c>
      <c r="B119" t="s">
        <v>182</v>
      </c>
      <c r="C119" t="s">
        <v>183</v>
      </c>
    </row>
    <row r="120" spans="1:3" x14ac:dyDescent="0.3">
      <c r="A120" t="s">
        <v>184</v>
      </c>
      <c r="B120" t="s">
        <v>13</v>
      </c>
      <c r="C120" t="s">
        <v>11</v>
      </c>
    </row>
    <row r="121" spans="1:3" x14ac:dyDescent="0.3">
      <c r="A121" t="s">
        <v>185</v>
      </c>
      <c r="B121" t="s">
        <v>70</v>
      </c>
      <c r="C121" t="s">
        <v>183</v>
      </c>
    </row>
    <row r="122" spans="1:3" x14ac:dyDescent="0.3">
      <c r="A122" t="s">
        <v>186</v>
      </c>
      <c r="B122" t="s">
        <v>20</v>
      </c>
      <c r="C122" t="s">
        <v>183</v>
      </c>
    </row>
    <row r="123" spans="1:3" x14ac:dyDescent="0.3">
      <c r="A123" t="s">
        <v>187</v>
      </c>
      <c r="B123" t="s">
        <v>64</v>
      </c>
      <c r="C123" t="s">
        <v>11</v>
      </c>
    </row>
    <row r="124" spans="1:3" x14ac:dyDescent="0.3">
      <c r="A124" t="s">
        <v>188</v>
      </c>
      <c r="B124" t="s">
        <v>189</v>
      </c>
      <c r="C124" t="s">
        <v>183</v>
      </c>
    </row>
    <row r="125" spans="1:3" x14ac:dyDescent="0.3">
      <c r="A125" t="s">
        <v>190</v>
      </c>
      <c r="B125" t="s">
        <v>33</v>
      </c>
      <c r="C125" t="s">
        <v>11</v>
      </c>
    </row>
    <row r="126" spans="1:3" x14ac:dyDescent="0.3">
      <c r="A126" t="s">
        <v>191</v>
      </c>
      <c r="B126" t="s">
        <v>192</v>
      </c>
      <c r="C126" t="s">
        <v>11</v>
      </c>
    </row>
    <row r="127" spans="1:3" x14ac:dyDescent="0.3">
      <c r="A127" t="s">
        <v>193</v>
      </c>
      <c r="B127" t="s">
        <v>45</v>
      </c>
      <c r="C127" t="s">
        <v>183</v>
      </c>
    </row>
    <row r="128" spans="1:3" x14ac:dyDescent="0.3">
      <c r="A128" t="s">
        <v>194</v>
      </c>
      <c r="B128" t="s">
        <v>195</v>
      </c>
      <c r="C128" t="s">
        <v>183</v>
      </c>
    </row>
    <row r="129" spans="1:3" x14ac:dyDescent="0.3">
      <c r="A129" t="s">
        <v>196</v>
      </c>
      <c r="B129" t="s">
        <v>197</v>
      </c>
      <c r="C129" t="s">
        <v>183</v>
      </c>
    </row>
    <row r="130" spans="1:3" x14ac:dyDescent="0.3">
      <c r="A130" t="s">
        <v>198</v>
      </c>
      <c r="B130" t="s">
        <v>83</v>
      </c>
      <c r="C130" t="s">
        <v>183</v>
      </c>
    </row>
    <row r="131" spans="1:3" x14ac:dyDescent="0.3">
      <c r="A131" t="s">
        <v>199</v>
      </c>
      <c r="B131" t="s">
        <v>25</v>
      </c>
      <c r="C131" t="s">
        <v>11</v>
      </c>
    </row>
    <row r="132" spans="1:3" x14ac:dyDescent="0.3">
      <c r="A132" t="s">
        <v>200</v>
      </c>
      <c r="B132" t="s">
        <v>201</v>
      </c>
      <c r="C132" t="s">
        <v>183</v>
      </c>
    </row>
    <row r="133" spans="1:3" x14ac:dyDescent="0.3">
      <c r="A133" t="s">
        <v>202</v>
      </c>
      <c r="B133" t="s">
        <v>25</v>
      </c>
      <c r="C133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"/>
  <sheetViews>
    <sheetView tabSelected="1" workbookViewId="0">
      <selection activeCell="I12" sqref="I12"/>
    </sheetView>
  </sheetViews>
  <sheetFormatPr defaultRowHeight="14.4" x14ac:dyDescent="0.3"/>
  <cols>
    <col min="3" max="3" width="12" customWidth="1"/>
    <col min="4" max="4" width="11.5546875" customWidth="1"/>
  </cols>
  <sheetData>
    <row r="1" spans="1:22" x14ac:dyDescent="0.3">
      <c r="A1" s="1" t="s">
        <v>203</v>
      </c>
      <c r="B1" s="1" t="s">
        <v>204</v>
      </c>
      <c r="C1" s="1" t="s">
        <v>205</v>
      </c>
      <c r="D1" s="1" t="s">
        <v>206</v>
      </c>
      <c r="E1" s="1" t="s">
        <v>207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224</v>
      </c>
    </row>
    <row r="2" spans="1:22" x14ac:dyDescent="0.3">
      <c r="A2">
        <v>1</v>
      </c>
      <c r="B2">
        <v>2025</v>
      </c>
      <c r="C2">
        <v>12</v>
      </c>
      <c r="D2">
        <v>71530</v>
      </c>
      <c r="E2">
        <v>3706</v>
      </c>
      <c r="F2">
        <v>2594</v>
      </c>
      <c r="G2">
        <v>1112</v>
      </c>
      <c r="H2">
        <v>14759</v>
      </c>
      <c r="I2">
        <f>-14246</f>
        <v>-14246</v>
      </c>
      <c r="J2">
        <v>187761</v>
      </c>
      <c r="K2">
        <v>5923</v>
      </c>
      <c r="L2">
        <v>245572</v>
      </c>
      <c r="M2">
        <v>33240</v>
      </c>
      <c r="N2">
        <v>33240</v>
      </c>
      <c r="O2">
        <v>33240</v>
      </c>
      <c r="P2">
        <v>5363</v>
      </c>
      <c r="Q2">
        <v>47485</v>
      </c>
      <c r="R2">
        <v>46425</v>
      </c>
      <c r="S2">
        <v>14132</v>
      </c>
      <c r="T2">
        <v>3706</v>
      </c>
      <c r="U2">
        <v>2594</v>
      </c>
      <c r="V2">
        <v>47485</v>
      </c>
    </row>
    <row r="3" spans="1:22" x14ac:dyDescent="0.3">
      <c r="A3">
        <v>1</v>
      </c>
      <c r="B3">
        <v>2025</v>
      </c>
      <c r="C3">
        <v>11</v>
      </c>
      <c r="D3">
        <v>70000</v>
      </c>
      <c r="E3">
        <v>4000</v>
      </c>
      <c r="F3">
        <v>2594</v>
      </c>
      <c r="G3">
        <v>1112</v>
      </c>
      <c r="H3">
        <v>14759</v>
      </c>
      <c r="I3">
        <v>14246</v>
      </c>
      <c r="J3">
        <v>187761</v>
      </c>
      <c r="K3">
        <v>5923</v>
      </c>
      <c r="L3">
        <v>245572</v>
      </c>
      <c r="M3">
        <v>33240</v>
      </c>
      <c r="N3">
        <v>33240</v>
      </c>
      <c r="O3">
        <v>33240</v>
      </c>
      <c r="P3">
        <v>5363</v>
      </c>
      <c r="Q3">
        <v>47485</v>
      </c>
      <c r="R3">
        <v>46425</v>
      </c>
      <c r="S3">
        <v>14132</v>
      </c>
      <c r="T3">
        <v>3706</v>
      </c>
      <c r="U3">
        <v>2594</v>
      </c>
      <c r="V3">
        <v>47485</v>
      </c>
    </row>
    <row r="4" spans="1:22" x14ac:dyDescent="0.3">
      <c r="A4">
        <v>1</v>
      </c>
      <c r="B4">
        <v>2025</v>
      </c>
      <c r="C4">
        <v>10</v>
      </c>
      <c r="D4">
        <v>80000</v>
      </c>
      <c r="E4">
        <v>5000</v>
      </c>
      <c r="F4">
        <v>3000</v>
      </c>
      <c r="G4">
        <v>1112</v>
      </c>
      <c r="H4">
        <v>14759</v>
      </c>
      <c r="I4">
        <v>14246</v>
      </c>
      <c r="J4">
        <v>187761</v>
      </c>
      <c r="K4">
        <v>5923</v>
      </c>
      <c r="L4">
        <v>245572</v>
      </c>
      <c r="M4">
        <v>33240</v>
      </c>
      <c r="N4">
        <v>33240</v>
      </c>
      <c r="O4">
        <v>33240</v>
      </c>
      <c r="P4">
        <v>5363</v>
      </c>
      <c r="Q4">
        <v>47485</v>
      </c>
      <c r="R4">
        <v>46425</v>
      </c>
      <c r="S4">
        <v>14132</v>
      </c>
      <c r="T4">
        <v>3706</v>
      </c>
      <c r="U4">
        <v>2594</v>
      </c>
      <c r="V4">
        <v>47485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"/>
  <sheetViews>
    <sheetView workbookViewId="0"/>
  </sheetViews>
  <sheetFormatPr defaultRowHeight="14.4" x14ac:dyDescent="0.3"/>
  <sheetData>
    <row r="1" spans="1:20" x14ac:dyDescent="0.3">
      <c r="A1" s="1" t="s">
        <v>225</v>
      </c>
      <c r="B1" s="1" t="s">
        <v>1</v>
      </c>
      <c r="C1" s="1" t="s">
        <v>2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</row>
    <row r="3" spans="1:20" x14ac:dyDescent="0.3">
      <c r="A3" t="s">
        <v>203</v>
      </c>
      <c r="B3" t="s">
        <v>204</v>
      </c>
      <c r="C3" t="s">
        <v>205</v>
      </c>
      <c r="D3" t="s">
        <v>243</v>
      </c>
      <c r="E3" t="s">
        <v>244</v>
      </c>
      <c r="F3" t="s">
        <v>245</v>
      </c>
      <c r="G3" t="s">
        <v>246</v>
      </c>
      <c r="H3" t="s">
        <v>247</v>
      </c>
      <c r="I3" t="s">
        <v>248</v>
      </c>
      <c r="J3" t="s">
        <v>249</v>
      </c>
      <c r="K3" t="s">
        <v>250</v>
      </c>
      <c r="L3" t="s">
        <v>251</v>
      </c>
      <c r="M3" t="s">
        <v>252</v>
      </c>
      <c r="N3" t="s">
        <v>253</v>
      </c>
      <c r="O3" t="s">
        <v>254</v>
      </c>
      <c r="P3" t="s">
        <v>255</v>
      </c>
      <c r="Q3" t="s">
        <v>256</v>
      </c>
      <c r="R3" t="s">
        <v>257</v>
      </c>
      <c r="S3" t="s">
        <v>258</v>
      </c>
      <c r="T3" t="s">
        <v>259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"/>
  <sheetViews>
    <sheetView workbookViewId="0"/>
  </sheetViews>
  <sheetFormatPr defaultRowHeight="14.4" x14ac:dyDescent="0.3"/>
  <sheetData>
    <row r="1" spans="1:25" x14ac:dyDescent="0.3">
      <c r="A1" s="1" t="s">
        <v>260</v>
      </c>
      <c r="B1" s="1" t="s">
        <v>1</v>
      </c>
      <c r="C1" s="1" t="s">
        <v>2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261</v>
      </c>
      <c r="V1" s="1" t="s">
        <v>262</v>
      </c>
      <c r="W1" s="1" t="s">
        <v>263</v>
      </c>
      <c r="X1" s="1" t="s">
        <v>264</v>
      </c>
      <c r="Y1" s="1" t="s">
        <v>265</v>
      </c>
    </row>
    <row r="3" spans="1:25" x14ac:dyDescent="0.3">
      <c r="A3" t="s">
        <v>203</v>
      </c>
      <c r="B3" t="s">
        <v>204</v>
      </c>
      <c r="C3" t="s">
        <v>205</v>
      </c>
      <c r="D3" t="s">
        <v>266</v>
      </c>
      <c r="E3" t="s">
        <v>267</v>
      </c>
      <c r="F3" t="s">
        <v>268</v>
      </c>
      <c r="G3" t="s">
        <v>269</v>
      </c>
      <c r="H3" t="s">
        <v>270</v>
      </c>
      <c r="I3" t="s">
        <v>271</v>
      </c>
      <c r="J3" t="s">
        <v>272</v>
      </c>
      <c r="K3" t="s">
        <v>273</v>
      </c>
      <c r="L3" t="s">
        <v>274</v>
      </c>
      <c r="M3" t="s">
        <v>275</v>
      </c>
      <c r="N3" t="s">
        <v>276</v>
      </c>
      <c r="O3" t="s">
        <v>276</v>
      </c>
      <c r="P3" t="s">
        <v>277</v>
      </c>
      <c r="Q3" t="s">
        <v>278</v>
      </c>
      <c r="R3" t="s">
        <v>279</v>
      </c>
      <c r="S3" t="s">
        <v>280</v>
      </c>
      <c r="T3" t="s">
        <v>281</v>
      </c>
      <c r="U3" t="s">
        <v>282</v>
      </c>
      <c r="V3" t="s">
        <v>283</v>
      </c>
      <c r="W3" t="s">
        <v>284</v>
      </c>
      <c r="X3" t="s">
        <v>285</v>
      </c>
      <c r="Y3" t="s">
        <v>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"/>
  <sheetViews>
    <sheetView workbookViewId="0"/>
  </sheetViews>
  <sheetFormatPr defaultRowHeight="14.4" x14ac:dyDescent="0.3"/>
  <sheetData>
    <row r="1" spans="1:17" x14ac:dyDescent="0.3">
      <c r="A1" s="1" t="s">
        <v>287</v>
      </c>
      <c r="B1" s="1" t="s">
        <v>1</v>
      </c>
      <c r="C1" s="1" t="s">
        <v>2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237</v>
      </c>
      <c r="P1" s="1" t="s">
        <v>238</v>
      </c>
      <c r="Q1" s="1" t="s">
        <v>239</v>
      </c>
    </row>
    <row r="3" spans="1:17" x14ac:dyDescent="0.3">
      <c r="A3" t="s">
        <v>203</v>
      </c>
      <c r="B3" t="s">
        <v>204</v>
      </c>
      <c r="C3" t="s">
        <v>205</v>
      </c>
      <c r="D3" t="s">
        <v>288</v>
      </c>
      <c r="E3" t="s">
        <v>289</v>
      </c>
      <c r="F3" t="s">
        <v>290</v>
      </c>
      <c r="G3" t="s">
        <v>291</v>
      </c>
      <c r="H3" t="s">
        <v>292</v>
      </c>
      <c r="I3" t="s">
        <v>293</v>
      </c>
      <c r="J3" t="s">
        <v>294</v>
      </c>
      <c r="K3" t="s">
        <v>295</v>
      </c>
      <c r="L3" t="s">
        <v>296</v>
      </c>
      <c r="M3" t="s">
        <v>297</v>
      </c>
      <c r="N3" t="s">
        <v>298</v>
      </c>
      <c r="O3" t="s">
        <v>299</v>
      </c>
      <c r="P3" t="s">
        <v>300</v>
      </c>
      <c r="Q3" t="s">
        <v>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"/>
  <sheetViews>
    <sheetView workbookViewId="0"/>
  </sheetViews>
  <sheetFormatPr defaultRowHeight="14.4" x14ac:dyDescent="0.3"/>
  <sheetData>
    <row r="1" spans="1:26" x14ac:dyDescent="0.3">
      <c r="A1" s="1" t="s">
        <v>302</v>
      </c>
      <c r="B1" s="1" t="s">
        <v>1</v>
      </c>
      <c r="C1" s="1" t="s">
        <v>2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261</v>
      </c>
      <c r="V1" s="1" t="s">
        <v>262</v>
      </c>
      <c r="W1" s="1" t="s">
        <v>263</v>
      </c>
      <c r="X1" s="1" t="s">
        <v>264</v>
      </c>
      <c r="Y1" s="1" t="s">
        <v>265</v>
      </c>
      <c r="Z1" s="1" t="s">
        <v>303</v>
      </c>
    </row>
    <row r="3" spans="1:26" x14ac:dyDescent="0.3">
      <c r="A3" t="s">
        <v>203</v>
      </c>
      <c r="B3" t="s">
        <v>204</v>
      </c>
      <c r="C3" t="s">
        <v>205</v>
      </c>
      <c r="D3" t="s">
        <v>304</v>
      </c>
      <c r="E3" t="s">
        <v>305</v>
      </c>
      <c r="F3" t="s">
        <v>306</v>
      </c>
      <c r="G3" t="s">
        <v>307</v>
      </c>
      <c r="H3" t="s">
        <v>308</v>
      </c>
      <c r="I3" t="s">
        <v>309</v>
      </c>
      <c r="J3" t="s">
        <v>310</v>
      </c>
      <c r="K3" t="s">
        <v>311</v>
      </c>
      <c r="L3" t="s">
        <v>312</v>
      </c>
      <c r="M3" t="s">
        <v>313</v>
      </c>
      <c r="N3" t="s">
        <v>314</v>
      </c>
      <c r="O3" t="s">
        <v>315</v>
      </c>
      <c r="P3" t="s">
        <v>316</v>
      </c>
      <c r="Q3" t="s">
        <v>317</v>
      </c>
      <c r="R3" t="s">
        <v>318</v>
      </c>
      <c r="S3" t="s">
        <v>319</v>
      </c>
      <c r="T3" t="s">
        <v>320</v>
      </c>
      <c r="U3" t="s">
        <v>321</v>
      </c>
      <c r="V3" t="s">
        <v>322</v>
      </c>
      <c r="W3" t="s">
        <v>323</v>
      </c>
      <c r="X3" t="s">
        <v>324</v>
      </c>
      <c r="Y3" t="s">
        <v>325</v>
      </c>
      <c r="Z3" t="s">
        <v>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"/>
  <sheetViews>
    <sheetView workbookViewId="0"/>
  </sheetViews>
  <sheetFormatPr defaultRowHeight="14.4" x14ac:dyDescent="0.3"/>
  <sheetData>
    <row r="1" spans="1:18" x14ac:dyDescent="0.3">
      <c r="A1" s="1" t="s">
        <v>327</v>
      </c>
      <c r="B1" s="1" t="s">
        <v>1</v>
      </c>
      <c r="C1" s="1" t="s">
        <v>2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</row>
    <row r="3" spans="1:18" x14ac:dyDescent="0.3">
      <c r="A3" t="s">
        <v>203</v>
      </c>
      <c r="B3" t="s">
        <v>204</v>
      </c>
      <c r="C3" t="s">
        <v>205</v>
      </c>
      <c r="D3" t="s">
        <v>328</v>
      </c>
      <c r="E3" t="s">
        <v>329</v>
      </c>
      <c r="F3" t="s">
        <v>330</v>
      </c>
      <c r="G3" t="s">
        <v>331</v>
      </c>
      <c r="H3" t="s">
        <v>332</v>
      </c>
      <c r="I3" t="s">
        <v>333</v>
      </c>
      <c r="J3" t="s">
        <v>334</v>
      </c>
      <c r="K3" t="s">
        <v>335</v>
      </c>
      <c r="L3" t="s">
        <v>336</v>
      </c>
      <c r="M3" t="s">
        <v>337</v>
      </c>
      <c r="N3" t="s">
        <v>338</v>
      </c>
      <c r="O3" t="s">
        <v>339</v>
      </c>
      <c r="P3" t="s">
        <v>340</v>
      </c>
      <c r="Q3" t="s">
        <v>341</v>
      </c>
      <c r="R3" t="s">
        <v>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3"/>
  <sheetViews>
    <sheetView workbookViewId="0"/>
  </sheetViews>
  <sheetFormatPr defaultRowHeight="14.4" x14ac:dyDescent="0.3"/>
  <sheetData>
    <row r="1" spans="1:31" x14ac:dyDescent="0.3">
      <c r="A1" s="1" t="s">
        <v>343</v>
      </c>
      <c r="B1" s="1" t="s">
        <v>1</v>
      </c>
      <c r="C1" s="1" t="s">
        <v>2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237</v>
      </c>
      <c r="P1" s="1" t="s">
        <v>238</v>
      </c>
      <c r="Q1" s="1" t="s">
        <v>239</v>
      </c>
      <c r="R1" s="1" t="s">
        <v>240</v>
      </c>
      <c r="S1" s="1" t="s">
        <v>241</v>
      </c>
      <c r="T1" s="1" t="s">
        <v>242</v>
      </c>
      <c r="U1" s="1" t="s">
        <v>261</v>
      </c>
      <c r="V1" s="1" t="s">
        <v>262</v>
      </c>
      <c r="W1" s="1" t="s">
        <v>263</v>
      </c>
      <c r="X1" s="1" t="s">
        <v>264</v>
      </c>
      <c r="Y1" s="1" t="s">
        <v>265</v>
      </c>
      <c r="Z1" s="1" t="s">
        <v>303</v>
      </c>
      <c r="AA1" s="1" t="s">
        <v>344</v>
      </c>
      <c r="AB1" s="1" t="s">
        <v>345</v>
      </c>
      <c r="AC1" s="1" t="s">
        <v>346</v>
      </c>
      <c r="AD1" s="1" t="s">
        <v>347</v>
      </c>
      <c r="AE1" s="1" t="s">
        <v>348</v>
      </c>
    </row>
    <row r="3" spans="1:31" x14ac:dyDescent="0.3">
      <c r="A3" t="s">
        <v>203</v>
      </c>
      <c r="B3" t="s">
        <v>204</v>
      </c>
      <c r="C3" t="s">
        <v>205</v>
      </c>
      <c r="D3" t="s">
        <v>349</v>
      </c>
      <c r="E3" t="s">
        <v>350</v>
      </c>
      <c r="F3" t="s">
        <v>351</v>
      </c>
      <c r="G3" t="s">
        <v>352</v>
      </c>
      <c r="H3" t="s">
        <v>353</v>
      </c>
      <c r="I3" t="s">
        <v>354</v>
      </c>
      <c r="J3" t="s">
        <v>355</v>
      </c>
      <c r="K3" t="s">
        <v>355</v>
      </c>
      <c r="L3" t="s">
        <v>356</v>
      </c>
      <c r="M3" t="s">
        <v>357</v>
      </c>
      <c r="N3" t="s">
        <v>358</v>
      </c>
      <c r="O3" t="s">
        <v>359</v>
      </c>
      <c r="P3" t="s">
        <v>360</v>
      </c>
      <c r="Q3" t="s">
        <v>361</v>
      </c>
      <c r="R3" t="s">
        <v>362</v>
      </c>
      <c r="S3" t="s">
        <v>363</v>
      </c>
      <c r="T3" t="s">
        <v>364</v>
      </c>
      <c r="U3" t="s">
        <v>365</v>
      </c>
      <c r="V3" t="s">
        <v>366</v>
      </c>
      <c r="W3" t="s">
        <v>367</v>
      </c>
      <c r="X3" t="s">
        <v>368</v>
      </c>
      <c r="Y3" t="s">
        <v>368</v>
      </c>
      <c r="Z3" t="s">
        <v>369</v>
      </c>
      <c r="AA3" t="s">
        <v>370</v>
      </c>
      <c r="AB3" t="s">
        <v>371</v>
      </c>
      <c r="AC3" t="s">
        <v>372</v>
      </c>
      <c r="AD3" t="s">
        <v>373</v>
      </c>
      <c r="AE3" t="s">
        <v>374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"/>
  <sheetViews>
    <sheetView workbookViewId="0"/>
  </sheetViews>
  <sheetFormatPr defaultRowHeight="14.4" x14ac:dyDescent="0.3"/>
  <sheetData>
    <row r="1" spans="1:17" x14ac:dyDescent="0.3">
      <c r="A1" s="1" t="s">
        <v>375</v>
      </c>
      <c r="B1" s="1" t="s">
        <v>1</v>
      </c>
      <c r="C1" s="1" t="s">
        <v>2</v>
      </c>
      <c r="D1" s="1" t="s">
        <v>226</v>
      </c>
      <c r="E1" s="1" t="s">
        <v>227</v>
      </c>
      <c r="F1" s="1" t="s">
        <v>228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  <c r="M1" s="1" t="s">
        <v>235</v>
      </c>
      <c r="N1" s="1" t="s">
        <v>236</v>
      </c>
      <c r="O1" s="1" t="s">
        <v>237</v>
      </c>
      <c r="P1" s="1" t="s">
        <v>238</v>
      </c>
      <c r="Q1" s="1" t="s">
        <v>239</v>
      </c>
    </row>
    <row r="3" spans="1:17" x14ac:dyDescent="0.3">
      <c r="A3" t="s">
        <v>203</v>
      </c>
      <c r="B3" t="s">
        <v>204</v>
      </c>
      <c r="C3" t="s">
        <v>205</v>
      </c>
      <c r="D3" t="s">
        <v>376</v>
      </c>
      <c r="E3" t="s">
        <v>377</v>
      </c>
      <c r="F3" t="s">
        <v>378</v>
      </c>
      <c r="G3" t="s">
        <v>379</v>
      </c>
      <c r="H3" t="s">
        <v>380</v>
      </c>
      <c r="I3" t="s">
        <v>381</v>
      </c>
      <c r="J3" t="s">
        <v>381</v>
      </c>
      <c r="K3" t="s">
        <v>382</v>
      </c>
      <c r="L3" t="s">
        <v>383</v>
      </c>
      <c r="M3" t="s">
        <v>384</v>
      </c>
      <c r="N3" t="s">
        <v>385</v>
      </c>
      <c r="O3" t="s">
        <v>386</v>
      </c>
      <c r="P3" t="s">
        <v>387</v>
      </c>
      <c r="Q3" t="s">
        <v>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Reference Guide</vt:lpstr>
      <vt:lpstr>Flows_UG2N</vt:lpstr>
      <vt:lpstr>Flows_UG2S</vt:lpstr>
      <vt:lpstr>Flows_UG2P</vt:lpstr>
      <vt:lpstr>Flows_MERN</vt:lpstr>
      <vt:lpstr>Flows_MERP</vt:lpstr>
      <vt:lpstr>Flows_MERS</vt:lpstr>
      <vt:lpstr>Flows_OLDTSF</vt:lpstr>
      <vt:lpstr>Flows_STOCKPILE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caliphs zvinowanda</cp:lastModifiedBy>
  <dcterms:created xsi:type="dcterms:W3CDTF">2025-12-14T16:10:22Z</dcterms:created>
  <dcterms:modified xsi:type="dcterms:W3CDTF">2025-12-14T16:35:10Z</dcterms:modified>
</cp:coreProperties>
</file>