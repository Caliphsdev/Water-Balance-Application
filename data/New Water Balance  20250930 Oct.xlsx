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D91D445-85AA-46F8-8A72-49ABDA71E8C4}" xr6:coauthVersionLast="47" xr6:coauthVersionMax="47" xr10:uidLastSave="{00000000-0000-0000-0000-000000000000}"/>
  <bookViews>
    <workbookView xWindow="-108" yWindow="-108" windowWidth="23256" windowHeight="13176" firstSheet="11" activeTab="11" xr2:uid="{A789CE40-32A4-489D-8538-B838D0BFB685}"/>
  </bookViews>
  <sheets>
    <sheet name="Detailed water ret flow Jun 09" sheetId="12" state="hidden" r:id="rId1"/>
    <sheet name="Detailed water ret flow Jul 09" sheetId="11" state="hidden" r:id="rId2"/>
    <sheet name="Detailed water ret flow Au 09" sheetId="10" state="hidden" r:id="rId3"/>
    <sheet name="Detailed water ret flow Sep 09" sheetId="9" state="hidden" r:id="rId4"/>
    <sheet name="Detailed water ret flow Oct 09" sheetId="8" state="hidden" r:id="rId5"/>
    <sheet name="Detailed water ret flow Nov 09" sheetId="7" state="hidden" r:id="rId6"/>
    <sheet name="Detailed water ret flow Dec 09" sheetId="6" state="hidden" r:id="rId7"/>
    <sheet name="Detailed water ret flow Jan 10" sheetId="5" state="hidden" r:id="rId8"/>
    <sheet name="Detailed water ret flow Feb" sheetId="2" state="hidden" r:id="rId9"/>
    <sheet name="Detailed water ret flow Dec" sheetId="25" state="hidden" r:id="rId10"/>
    <sheet name="Detailed water ret flow Jan" sheetId="26" state="hidden" r:id="rId11"/>
    <sheet name="Meter Readings" sheetId="1" r:id="rId12"/>
    <sheet name="Nov12" sheetId="29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Order1" hidden="1">255</definedName>
    <definedName name="_Order2" hidden="1">255</definedName>
    <definedName name="_xlnm.Print_Area" localSheetId="2">#N/A</definedName>
    <definedName name="_xlnm.Print_Area" localSheetId="9">#N/A</definedName>
    <definedName name="_xlnm.Print_Area" localSheetId="6">#N/A</definedName>
    <definedName name="_xlnm.Print_Area" localSheetId="8">#N/A</definedName>
    <definedName name="_xlnm.Print_Area" localSheetId="10">#N/A</definedName>
    <definedName name="_xlnm.Print_Area" localSheetId="7">#N/A</definedName>
    <definedName name="_xlnm.Print_Area" localSheetId="1">#N/A</definedName>
    <definedName name="_xlnm.Print_Area" localSheetId="0">#N/A</definedName>
    <definedName name="_xlnm.Print_Area" localSheetId="5">#N/A</definedName>
    <definedName name="_xlnm.Print_Area" localSheetId="4">#N/A</definedName>
    <definedName name="_xlnm.Print_Area" localSheetId="3">#N/A</definedName>
    <definedName name="_xlnm.Print_Area" localSheetId="12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42" i="1" l="1"/>
  <c r="BM242" i="1"/>
  <c r="BI242" i="1"/>
  <c r="BJ242" i="1"/>
  <c r="BH242" i="1"/>
  <c r="AP242" i="1"/>
  <c r="AK242" i="1"/>
  <c r="BK242" i="1" a="1"/>
  <c r="BK242" i="1"/>
  <c r="AE242" i="1"/>
  <c r="P242" i="1"/>
  <c r="G242" i="1"/>
  <c r="AZ242" i="1"/>
  <c r="BL241" i="1"/>
  <c r="AP241" i="1"/>
  <c r="AZ241" i="1"/>
  <c r="G241" i="1"/>
  <c r="BH241" i="1"/>
  <c r="AK241" i="1"/>
  <c r="BK241" i="1" a="1"/>
  <c r="BK241" i="1"/>
  <c r="AW241" i="1"/>
  <c r="BI241" i="1"/>
  <c r="P241" i="1"/>
  <c r="AE241" i="1"/>
  <c r="B27" i="29"/>
  <c r="B32" i="29"/>
  <c r="O40" i="29"/>
  <c r="V42" i="29"/>
  <c r="W44" i="29"/>
  <c r="AA84" i="29"/>
  <c r="U47" i="29"/>
  <c r="Z48" i="29"/>
  <c r="AA31" i="29"/>
  <c r="AF59" i="29"/>
  <c r="T58" i="29"/>
  <c r="AF58" i="29"/>
  <c r="Y64" i="29"/>
  <c r="AB65" i="29"/>
  <c r="Y69" i="29"/>
  <c r="AC75" i="29"/>
  <c r="Z69" i="29"/>
  <c r="R80" i="29"/>
  <c r="B81" i="29"/>
  <c r="AA81" i="29"/>
  <c r="AG69" i="29"/>
  <c r="Z82" i="29"/>
  <c r="AA82" i="29"/>
  <c r="AG70" i="29"/>
  <c r="Z83" i="29"/>
  <c r="Z84" i="29"/>
  <c r="AA83" i="29"/>
  <c r="Y88" i="29"/>
  <c r="C97" i="29"/>
  <c r="C105" i="29"/>
  <c r="B69" i="29"/>
  <c r="R97" i="29"/>
  <c r="X97" i="29"/>
  <c r="Y97" i="29"/>
  <c r="Y98" i="29"/>
  <c r="M99" i="29"/>
  <c r="O72" i="29"/>
  <c r="T99" i="29"/>
  <c r="AA99" i="29"/>
  <c r="V100" i="29"/>
  <c r="V101" i="29"/>
  <c r="AC100" i="29"/>
  <c r="AC101" i="29"/>
  <c r="W102" i="29"/>
  <c r="AD102" i="29"/>
  <c r="M104" i="29"/>
  <c r="M105" i="29"/>
  <c r="M106" i="29"/>
  <c r="M110" i="29"/>
  <c r="V104" i="29"/>
  <c r="W104" i="29"/>
  <c r="AD104" i="29"/>
  <c r="AD105" i="29"/>
  <c r="AD106" i="29"/>
  <c r="AD107" i="29"/>
  <c r="AC104" i="29"/>
  <c r="V105" i="29"/>
  <c r="V106" i="29"/>
  <c r="V108" i="29"/>
  <c r="AC105" i="29"/>
  <c r="AC106" i="29"/>
  <c r="T107" i="29"/>
  <c r="AA107" i="29"/>
  <c r="V107" i="29"/>
  <c r="AC107" i="29"/>
  <c r="W107" i="29"/>
  <c r="M108" i="29"/>
  <c r="M109" i="29"/>
  <c r="T108" i="29"/>
  <c r="AA108" i="29"/>
  <c r="V112" i="29"/>
  <c r="V113" i="29"/>
  <c r="T47" i="29"/>
  <c r="V58" i="29"/>
  <c r="AC112" i="29"/>
  <c r="AC113" i="29"/>
  <c r="X88" i="29"/>
  <c r="W113" i="29"/>
  <c r="AD113" i="29"/>
  <c r="M114" i="29"/>
  <c r="M115" i="29"/>
  <c r="M116" i="29"/>
  <c r="W119" i="29"/>
  <c r="AP3" i="1"/>
  <c r="P4" i="1"/>
  <c r="AE4" i="1"/>
  <c r="BF4" i="1"/>
  <c r="BG4" i="1"/>
  <c r="BE4" i="1"/>
  <c r="M5" i="1"/>
  <c r="N5" i="1"/>
  <c r="P5" i="1"/>
  <c r="AE5" i="1"/>
  <c r="M6" i="1"/>
  <c r="N6" i="1"/>
  <c r="P6" i="1"/>
  <c r="AE6" i="1"/>
  <c r="M7" i="1"/>
  <c r="N7" i="1"/>
  <c r="P7" i="1"/>
  <c r="AE7" i="1"/>
  <c r="M8" i="1"/>
  <c r="N8" i="1"/>
  <c r="P8" i="1"/>
  <c r="AE8" i="1"/>
  <c r="M9" i="1"/>
  <c r="N9" i="1"/>
  <c r="P9" i="1"/>
  <c r="AE9" i="1"/>
  <c r="M10" i="1"/>
  <c r="N10" i="1"/>
  <c r="P10" i="1"/>
  <c r="AE10" i="1"/>
  <c r="M11" i="1"/>
  <c r="AV11" i="1"/>
  <c r="N11" i="1"/>
  <c r="P11" i="1"/>
  <c r="AE11" i="1"/>
  <c r="M12" i="1"/>
  <c r="N12" i="1"/>
  <c r="P12" i="1"/>
  <c r="AE12" i="1"/>
  <c r="M13" i="1"/>
  <c r="AV13" i="1"/>
  <c r="N13" i="1"/>
  <c r="P13" i="1"/>
  <c r="AE13" i="1"/>
  <c r="M14" i="1"/>
  <c r="N14" i="1"/>
  <c r="P14" i="1"/>
  <c r="AE14" i="1"/>
  <c r="M15" i="1"/>
  <c r="N15" i="1"/>
  <c r="P15" i="1"/>
  <c r="AE15" i="1"/>
  <c r="AV15" i="1"/>
  <c r="M16" i="1"/>
  <c r="AW16" i="1"/>
  <c r="N16" i="1"/>
  <c r="P16" i="1"/>
  <c r="AE16" i="1"/>
  <c r="M17" i="1"/>
  <c r="AV17" i="1"/>
  <c r="N17" i="1"/>
  <c r="P17" i="1"/>
  <c r="AE17" i="1"/>
  <c r="P18" i="1"/>
  <c r="AE18" i="1"/>
  <c r="AV18" i="1"/>
  <c r="AW18" i="1"/>
  <c r="P19" i="1"/>
  <c r="AE19" i="1"/>
  <c r="AV19" i="1"/>
  <c r="AW19" i="1"/>
  <c r="P20" i="1"/>
  <c r="AE20" i="1"/>
  <c r="AV20" i="1"/>
  <c r="AW20" i="1"/>
  <c r="P21" i="1"/>
  <c r="AE21" i="1"/>
  <c r="AW21" i="1"/>
  <c r="P22" i="1"/>
  <c r="AE22" i="1"/>
  <c r="AW22" i="1"/>
  <c r="C23" i="1"/>
  <c r="P23" i="1"/>
  <c r="AV23" i="1"/>
  <c r="AE23" i="1"/>
  <c r="AW23" i="1"/>
  <c r="P24" i="1"/>
  <c r="AE24" i="1"/>
  <c r="AW24" i="1"/>
  <c r="P25" i="1"/>
  <c r="AV25" i="1"/>
  <c r="AE25" i="1"/>
  <c r="AW25" i="1"/>
  <c r="P26" i="1"/>
  <c r="AE26" i="1"/>
  <c r="AW26" i="1"/>
  <c r="P27" i="1"/>
  <c r="AE27" i="1"/>
  <c r="AW27" i="1"/>
  <c r="P28" i="1"/>
  <c r="AE28" i="1"/>
  <c r="AW28" i="1"/>
  <c r="P29" i="1"/>
  <c r="AE29" i="1"/>
  <c r="AW29" i="1"/>
  <c r="P30" i="1"/>
  <c r="AE30" i="1"/>
  <c r="AW30" i="1"/>
  <c r="P31" i="1"/>
  <c r="AE31" i="1"/>
  <c r="AW31" i="1"/>
  <c r="P32" i="1"/>
  <c r="AE32" i="1"/>
  <c r="AW32" i="1"/>
  <c r="P33" i="1"/>
  <c r="AE33" i="1"/>
  <c r="AW33" i="1"/>
  <c r="P34" i="1"/>
  <c r="AE34" i="1"/>
  <c r="AW34" i="1"/>
  <c r="B35" i="1"/>
  <c r="C35" i="1"/>
  <c r="D35" i="1"/>
  <c r="M35" i="1"/>
  <c r="N35" i="1"/>
  <c r="P35" i="1"/>
  <c r="AE35" i="1"/>
  <c r="P36" i="1"/>
  <c r="AE36" i="1"/>
  <c r="AW36" i="1"/>
  <c r="C37" i="1"/>
  <c r="D37" i="1"/>
  <c r="G37" i="1"/>
  <c r="M37" i="1"/>
  <c r="N37" i="1"/>
  <c r="P37" i="1"/>
  <c r="AE37" i="1"/>
  <c r="B38" i="1"/>
  <c r="M38" i="1"/>
  <c r="N38" i="1"/>
  <c r="P38" i="1"/>
  <c r="AE38" i="1"/>
  <c r="P39" i="1"/>
  <c r="AE39" i="1"/>
  <c r="AW39" i="1"/>
  <c r="B40" i="1"/>
  <c r="C40" i="1"/>
  <c r="M40" i="1"/>
  <c r="N40" i="1"/>
  <c r="P40" i="1"/>
  <c r="AE40" i="1"/>
  <c r="B41" i="1"/>
  <c r="C41" i="1"/>
  <c r="M41" i="1"/>
  <c r="N41" i="1"/>
  <c r="O41" i="1"/>
  <c r="P41" i="1"/>
  <c r="AE41" i="1"/>
  <c r="B42" i="1"/>
  <c r="AW42" i="1"/>
  <c r="C42" i="1"/>
  <c r="P42" i="1"/>
  <c r="AE42" i="1"/>
  <c r="C43" i="1"/>
  <c r="P43" i="1"/>
  <c r="AE43" i="1"/>
  <c r="AW43" i="1"/>
  <c r="Q44" i="1"/>
  <c r="P44" i="1"/>
  <c r="AV44" i="1"/>
  <c r="T44" i="1"/>
  <c r="V44" i="1"/>
  <c r="AE44" i="1"/>
  <c r="AW44" i="1"/>
  <c r="N45" i="1"/>
  <c r="P45" i="1"/>
  <c r="AD45" i="1"/>
  <c r="AE45" i="1"/>
  <c r="A46" i="1"/>
  <c r="B46" i="1"/>
  <c r="C46" i="1"/>
  <c r="D46" i="1"/>
  <c r="G46" i="1"/>
  <c r="M46" i="1"/>
  <c r="N46" i="1"/>
  <c r="O46" i="1"/>
  <c r="P46" i="1"/>
  <c r="AE46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BD46" i="1"/>
  <c r="G47" i="1"/>
  <c r="M47" i="1"/>
  <c r="N47" i="1"/>
  <c r="O47" i="1"/>
  <c r="P47" i="1"/>
  <c r="AE47" i="1"/>
  <c r="AP47" i="1"/>
  <c r="AQ47" i="1"/>
  <c r="BD47" i="1"/>
  <c r="BA47" i="1"/>
  <c r="A48" i="1"/>
  <c r="A49" i="1"/>
  <c r="A50" i="1"/>
  <c r="A51" i="1"/>
  <c r="A52" i="1"/>
  <c r="A53" i="1"/>
  <c r="A54" i="1"/>
  <c r="A55" i="1"/>
  <c r="A56" i="1"/>
  <c r="A57" i="1"/>
  <c r="G48" i="1"/>
  <c r="M48" i="1"/>
  <c r="AW48" i="1"/>
  <c r="N48" i="1"/>
  <c r="O48" i="1"/>
  <c r="P48" i="1"/>
  <c r="AE48" i="1"/>
  <c r="AP48" i="1"/>
  <c r="AQ48" i="1"/>
  <c r="BD48" i="1"/>
  <c r="BA48" i="1"/>
  <c r="G49" i="1"/>
  <c r="M49" i="1"/>
  <c r="N49" i="1"/>
  <c r="O49" i="1"/>
  <c r="BH49" i="1"/>
  <c r="P49" i="1"/>
  <c r="AE49" i="1"/>
  <c r="AP49" i="1"/>
  <c r="AQ49" i="1"/>
  <c r="BD49" i="1"/>
  <c r="G50" i="1"/>
  <c r="M50" i="1"/>
  <c r="N50" i="1"/>
  <c r="O50" i="1"/>
  <c r="P50" i="1"/>
  <c r="AE50" i="1"/>
  <c r="AP50" i="1"/>
  <c r="AQ50" i="1"/>
  <c r="AS50" i="1"/>
  <c r="BD50" i="1"/>
  <c r="BA50" i="1"/>
  <c r="G51" i="1"/>
  <c r="M51" i="1"/>
  <c r="N51" i="1"/>
  <c r="O51" i="1"/>
  <c r="P51" i="1"/>
  <c r="AE51" i="1"/>
  <c r="AP51" i="1"/>
  <c r="AQ51" i="1"/>
  <c r="AS51" i="1"/>
  <c r="BA51" i="1"/>
  <c r="BD51" i="1"/>
  <c r="G52" i="1"/>
  <c r="M52" i="1"/>
  <c r="N52" i="1"/>
  <c r="BI52" i="1"/>
  <c r="BJ52" i="1"/>
  <c r="O52" i="1"/>
  <c r="P52" i="1"/>
  <c r="AE52" i="1"/>
  <c r="AP52" i="1"/>
  <c r="AQ52" i="1"/>
  <c r="AS52" i="1"/>
  <c r="BD52" i="1"/>
  <c r="BA52" i="1"/>
  <c r="G53" i="1"/>
  <c r="M53" i="1"/>
  <c r="N53" i="1"/>
  <c r="O53" i="1"/>
  <c r="P53" i="1"/>
  <c r="AE53" i="1"/>
  <c r="AP53" i="1"/>
  <c r="AQ53" i="1"/>
  <c r="AS53" i="1"/>
  <c r="BD53" i="1"/>
  <c r="BA53" i="1"/>
  <c r="C54" i="1"/>
  <c r="G54" i="1"/>
  <c r="O54" i="1"/>
  <c r="P54" i="1"/>
  <c r="AE54" i="1"/>
  <c r="AP54" i="1"/>
  <c r="AQ54" i="1"/>
  <c r="AR54" i="1"/>
  <c r="AS54" i="1"/>
  <c r="BD54" i="1"/>
  <c r="BA54" i="1"/>
  <c r="B55" i="1"/>
  <c r="AP55" i="1"/>
  <c r="C55" i="1"/>
  <c r="O55" i="1"/>
  <c r="P55" i="1"/>
  <c r="V55" i="1"/>
  <c r="BA55" i="1"/>
  <c r="AE55" i="1"/>
  <c r="AF55" i="1"/>
  <c r="AQ55" i="1"/>
  <c r="AR55" i="1"/>
  <c r="AS55" i="1"/>
  <c r="BD55" i="1"/>
  <c r="B56" i="1"/>
  <c r="AP56" i="1"/>
  <c r="C56" i="1"/>
  <c r="G56" i="1"/>
  <c r="BK56" i="1"/>
  <c r="M56" i="1"/>
  <c r="N56" i="1"/>
  <c r="O56" i="1"/>
  <c r="P56" i="1"/>
  <c r="V56" i="1"/>
  <c r="AE56" i="1"/>
  <c r="AF56" i="1"/>
  <c r="AR56" i="1"/>
  <c r="AS56" i="1"/>
  <c r="BD56" i="1"/>
  <c r="B57" i="1"/>
  <c r="AP57" i="1"/>
  <c r="C57" i="1"/>
  <c r="G57" i="1"/>
  <c r="M57" i="1"/>
  <c r="N57" i="1"/>
  <c r="O57" i="1"/>
  <c r="P57" i="1"/>
  <c r="AE57" i="1"/>
  <c r="BD57" i="1"/>
  <c r="BA57" i="1"/>
  <c r="B58" i="1"/>
  <c r="AZ58" i="1"/>
  <c r="AP58" i="1"/>
  <c r="C58" i="1"/>
  <c r="M58" i="1"/>
  <c r="AV58" i="1"/>
  <c r="N58" i="1"/>
  <c r="O58" i="1"/>
  <c r="P58" i="1"/>
  <c r="V58" i="1"/>
  <c r="AE58" i="1"/>
  <c r="AF58" i="1"/>
  <c r="AR58" i="1"/>
  <c r="AS58" i="1"/>
  <c r="BD58" i="1"/>
  <c r="B59" i="1"/>
  <c r="AP59" i="1"/>
  <c r="C59" i="1"/>
  <c r="G59" i="1"/>
  <c r="AV59" i="1"/>
  <c r="M59" i="1"/>
  <c r="BI59" i="1"/>
  <c r="N59" i="1"/>
  <c r="P59" i="1"/>
  <c r="V59" i="1"/>
  <c r="AE59" i="1"/>
  <c r="AF59" i="1"/>
  <c r="BD59" i="1"/>
  <c r="B60" i="1"/>
  <c r="P60" i="1"/>
  <c r="BK60" i="1"/>
  <c r="AE60" i="1"/>
  <c r="BD60" i="1"/>
  <c r="BA60" i="1"/>
  <c r="BH60" i="1"/>
  <c r="BI60" i="1"/>
  <c r="G61" i="1"/>
  <c r="P61" i="1"/>
  <c r="AE61" i="1"/>
  <c r="AP61" i="1"/>
  <c r="BD61" i="1"/>
  <c r="BA61" i="1"/>
  <c r="BH61" i="1"/>
  <c r="BJ61" i="1"/>
  <c r="BI61" i="1"/>
  <c r="P62" i="1"/>
  <c r="AE62" i="1"/>
  <c r="AP62" i="1"/>
  <c r="AW62" i="1"/>
  <c r="AZ62" i="1"/>
  <c r="BD62" i="1"/>
  <c r="BA62" i="1"/>
  <c r="BH62" i="1"/>
  <c r="BI62" i="1"/>
  <c r="P63" i="1"/>
  <c r="BK63" i="1"/>
  <c r="AE63" i="1"/>
  <c r="AP63" i="1"/>
  <c r="AW63" i="1"/>
  <c r="AZ63" i="1"/>
  <c r="BD63" i="1"/>
  <c r="BH63" i="1"/>
  <c r="BI63" i="1"/>
  <c r="BJ63" i="1"/>
  <c r="P64" i="1"/>
  <c r="AE64" i="1"/>
  <c r="AP64" i="1"/>
  <c r="AW64" i="1"/>
  <c r="AZ64" i="1"/>
  <c r="BD64" i="1"/>
  <c r="BH64" i="1"/>
  <c r="BI64" i="1"/>
  <c r="BJ64" i="1"/>
  <c r="P65" i="1"/>
  <c r="BK65" i="1"/>
  <c r="AE65" i="1"/>
  <c r="AP65" i="1"/>
  <c r="AW65" i="1"/>
  <c r="AZ65" i="1"/>
  <c r="BD65" i="1"/>
  <c r="BA65" i="1"/>
  <c r="BH65" i="1"/>
  <c r="BI65" i="1"/>
  <c r="P66" i="1"/>
  <c r="AE66" i="1"/>
  <c r="AP66" i="1"/>
  <c r="AW66" i="1"/>
  <c r="AZ66" i="1"/>
  <c r="BD66" i="1"/>
  <c r="BA66" i="1"/>
  <c r="BH66" i="1"/>
  <c r="BI66" i="1"/>
  <c r="BJ66" i="1"/>
  <c r="P67" i="1"/>
  <c r="AE67" i="1"/>
  <c r="AP67" i="1"/>
  <c r="AW67" i="1"/>
  <c r="AZ67" i="1"/>
  <c r="BD67" i="1"/>
  <c r="BA67" i="1"/>
  <c r="BH67" i="1"/>
  <c r="BI67" i="1"/>
  <c r="P68" i="1"/>
  <c r="BK68" i="1"/>
  <c r="AE68" i="1"/>
  <c r="AP68" i="1"/>
  <c r="AW68" i="1"/>
  <c r="AZ68" i="1"/>
  <c r="BD68" i="1"/>
  <c r="BH68" i="1"/>
  <c r="BI68" i="1"/>
  <c r="BJ68" i="1"/>
  <c r="P69" i="1"/>
  <c r="BK69" i="1"/>
  <c r="AE69" i="1"/>
  <c r="AP69" i="1"/>
  <c r="AW69" i="1"/>
  <c r="AZ69" i="1"/>
  <c r="BD69" i="1"/>
  <c r="BA69" i="1"/>
  <c r="BH69" i="1"/>
  <c r="BI69" i="1"/>
  <c r="BJ69" i="1"/>
  <c r="P70" i="1"/>
  <c r="BK70" i="1"/>
  <c r="AE70" i="1"/>
  <c r="AP70" i="1"/>
  <c r="AW70" i="1"/>
  <c r="AZ70" i="1"/>
  <c r="BD70" i="1"/>
  <c r="BA70" i="1"/>
  <c r="BH70" i="1"/>
  <c r="BI70" i="1"/>
  <c r="BJ70" i="1"/>
  <c r="P71" i="1"/>
  <c r="AV71" i="1"/>
  <c r="AX71" i="1"/>
  <c r="AE71" i="1"/>
  <c r="AP71" i="1"/>
  <c r="AW71" i="1"/>
  <c r="AZ71" i="1"/>
  <c r="BD71" i="1"/>
  <c r="BA71" i="1"/>
  <c r="BH71" i="1"/>
  <c r="BJ71" i="1"/>
  <c r="BI71" i="1"/>
  <c r="P72" i="1"/>
  <c r="AE72" i="1"/>
  <c r="AP72" i="1"/>
  <c r="AW72" i="1"/>
  <c r="AZ72" i="1"/>
  <c r="BD72" i="1"/>
  <c r="BA72" i="1"/>
  <c r="BH72" i="1"/>
  <c r="BI72" i="1"/>
  <c r="BJ72" i="1"/>
  <c r="P73" i="1"/>
  <c r="BK73" i="1"/>
  <c r="AE73" i="1"/>
  <c r="AP73" i="1"/>
  <c r="AW73" i="1"/>
  <c r="AZ73" i="1"/>
  <c r="BD73" i="1"/>
  <c r="BA73" i="1"/>
  <c r="BH73" i="1"/>
  <c r="BI73" i="1"/>
  <c r="P74" i="1"/>
  <c r="AE74" i="1"/>
  <c r="AP74" i="1"/>
  <c r="AW74" i="1"/>
  <c r="AZ74" i="1"/>
  <c r="BD74" i="1"/>
  <c r="BA74" i="1"/>
  <c r="BH74" i="1"/>
  <c r="BI74" i="1"/>
  <c r="P75" i="1"/>
  <c r="AE75" i="1"/>
  <c r="AP75" i="1"/>
  <c r="AW75" i="1"/>
  <c r="AZ75" i="1"/>
  <c r="BD75" i="1"/>
  <c r="BA75" i="1"/>
  <c r="BH75" i="1"/>
  <c r="BI75" i="1"/>
  <c r="BJ75" i="1"/>
  <c r="P76" i="1"/>
  <c r="AE76" i="1"/>
  <c r="AP76" i="1"/>
  <c r="AW76" i="1"/>
  <c r="AZ76" i="1"/>
  <c r="BD76" i="1"/>
  <c r="BA76" i="1"/>
  <c r="BH76" i="1"/>
  <c r="BI76" i="1"/>
  <c r="P77" i="1"/>
  <c r="AE77" i="1"/>
  <c r="AV77" i="1"/>
  <c r="AX77" i="1"/>
  <c r="AP77" i="1"/>
  <c r="AW77" i="1"/>
  <c r="AZ77" i="1"/>
  <c r="BD77" i="1"/>
  <c r="BA77" i="1"/>
  <c r="BH77" i="1"/>
  <c r="BI77" i="1"/>
  <c r="BJ77" i="1"/>
  <c r="P78" i="1"/>
  <c r="AE78" i="1"/>
  <c r="AP78" i="1"/>
  <c r="AW78" i="1"/>
  <c r="AZ78" i="1"/>
  <c r="BD78" i="1"/>
  <c r="BA78" i="1"/>
  <c r="BH78" i="1"/>
  <c r="BI78" i="1"/>
  <c r="BJ78" i="1"/>
  <c r="P79" i="1"/>
  <c r="BK79" i="1"/>
  <c r="AE79" i="1"/>
  <c r="AP79" i="1"/>
  <c r="AW79" i="1"/>
  <c r="AZ79" i="1"/>
  <c r="BD79" i="1"/>
  <c r="BA79" i="1"/>
  <c r="BH79" i="1"/>
  <c r="BI79" i="1"/>
  <c r="P80" i="1"/>
  <c r="AE80" i="1"/>
  <c r="BK80" i="1"/>
  <c r="AP80" i="1"/>
  <c r="AW80" i="1"/>
  <c r="AZ80" i="1"/>
  <c r="BD80" i="1"/>
  <c r="BA80" i="1"/>
  <c r="BH80" i="1"/>
  <c r="BI80" i="1"/>
  <c r="P81" i="1"/>
  <c r="BK81" i="1"/>
  <c r="AE81" i="1"/>
  <c r="AP81" i="1"/>
  <c r="AW81" i="1"/>
  <c r="AZ81" i="1"/>
  <c r="BD81" i="1"/>
  <c r="BA81" i="1"/>
  <c r="BH81" i="1"/>
  <c r="BI81" i="1"/>
  <c r="P82" i="1"/>
  <c r="AE82" i="1"/>
  <c r="AP82" i="1"/>
  <c r="AW82" i="1"/>
  <c r="AZ82" i="1"/>
  <c r="BD82" i="1"/>
  <c r="BH82" i="1"/>
  <c r="BI82" i="1"/>
  <c r="P83" i="1"/>
  <c r="AE83" i="1"/>
  <c r="BK83" i="1"/>
  <c r="AP83" i="1"/>
  <c r="AW83" i="1"/>
  <c r="AZ83" i="1"/>
  <c r="BD83" i="1"/>
  <c r="BA83" i="1"/>
  <c r="BH83" i="1"/>
  <c r="BI83" i="1"/>
  <c r="BJ83" i="1"/>
  <c r="P84" i="1"/>
  <c r="BK84" i="1"/>
  <c r="AE84" i="1"/>
  <c r="AP84" i="1"/>
  <c r="AW84" i="1"/>
  <c r="AZ84" i="1"/>
  <c r="BD84" i="1"/>
  <c r="BA84" i="1"/>
  <c r="BH84" i="1"/>
  <c r="BI84" i="1"/>
  <c r="BJ84" i="1"/>
  <c r="P85" i="1"/>
  <c r="AE85" i="1"/>
  <c r="AP85" i="1"/>
  <c r="AW85" i="1"/>
  <c r="AZ85" i="1"/>
  <c r="BD85" i="1"/>
  <c r="BA85" i="1"/>
  <c r="BH85" i="1"/>
  <c r="BI85" i="1"/>
  <c r="BJ85" i="1"/>
  <c r="P86" i="1"/>
  <c r="AE86" i="1"/>
  <c r="AV86" i="1"/>
  <c r="AP86" i="1"/>
  <c r="AW86" i="1"/>
  <c r="AZ86" i="1"/>
  <c r="BD86" i="1"/>
  <c r="BA86" i="1"/>
  <c r="BH86" i="1"/>
  <c r="BI86" i="1"/>
  <c r="P87" i="1"/>
  <c r="AV87" i="1"/>
  <c r="AE87" i="1"/>
  <c r="AP87" i="1"/>
  <c r="AW87" i="1"/>
  <c r="AZ87" i="1"/>
  <c r="BD87" i="1"/>
  <c r="BA87" i="1"/>
  <c r="BH87" i="1"/>
  <c r="BI87" i="1"/>
  <c r="P88" i="1"/>
  <c r="AE88" i="1"/>
  <c r="AP88" i="1"/>
  <c r="AW88" i="1"/>
  <c r="AZ88" i="1"/>
  <c r="BD88" i="1"/>
  <c r="BA88" i="1"/>
  <c r="BH88" i="1"/>
  <c r="BI88" i="1"/>
  <c r="P89" i="1"/>
  <c r="AE89" i="1"/>
  <c r="BK89" i="1"/>
  <c r="AP89" i="1"/>
  <c r="AW89" i="1"/>
  <c r="AZ89" i="1"/>
  <c r="BD89" i="1"/>
  <c r="BA89" i="1"/>
  <c r="BH89" i="1"/>
  <c r="BI89" i="1"/>
  <c r="P90" i="1"/>
  <c r="BK90" i="1"/>
  <c r="AE90" i="1"/>
  <c r="AP90" i="1"/>
  <c r="AW90" i="1"/>
  <c r="AZ90" i="1"/>
  <c r="BD90" i="1"/>
  <c r="BA90" i="1"/>
  <c r="BH90" i="1"/>
  <c r="BI90" i="1"/>
  <c r="BJ90" i="1"/>
  <c r="P91" i="1"/>
  <c r="AE91" i="1"/>
  <c r="AP91" i="1"/>
  <c r="AW91" i="1"/>
  <c r="AZ91" i="1"/>
  <c r="BD91" i="1"/>
  <c r="BA91" i="1"/>
  <c r="BH91" i="1"/>
  <c r="BI91" i="1"/>
  <c r="P92" i="1"/>
  <c r="AE92" i="1"/>
  <c r="AV92" i="1"/>
  <c r="AX92" i="1"/>
  <c r="AP92" i="1"/>
  <c r="AW92" i="1"/>
  <c r="AZ92" i="1"/>
  <c r="BD92" i="1"/>
  <c r="BA92" i="1"/>
  <c r="BH92" i="1"/>
  <c r="BI92" i="1"/>
  <c r="P93" i="1"/>
  <c r="AE93" i="1"/>
  <c r="AP93" i="1"/>
  <c r="AW93" i="1"/>
  <c r="AZ93" i="1"/>
  <c r="BD93" i="1"/>
  <c r="BA93" i="1"/>
  <c r="BH93" i="1"/>
  <c r="BI93" i="1"/>
  <c r="BJ93" i="1"/>
  <c r="P94" i="1"/>
  <c r="BK94" i="1"/>
  <c r="AE94" i="1"/>
  <c r="AP94" i="1"/>
  <c r="AW94" i="1"/>
  <c r="AZ94" i="1"/>
  <c r="BD94" i="1"/>
  <c r="BC94" i="1"/>
  <c r="AY94" i="1"/>
  <c r="BH94" i="1"/>
  <c r="BI94" i="1"/>
  <c r="P95" i="1"/>
  <c r="AE95" i="1"/>
  <c r="AV95" i="1"/>
  <c r="AP95" i="1"/>
  <c r="AW95" i="1"/>
  <c r="AZ95" i="1"/>
  <c r="BD95" i="1"/>
  <c r="BA95" i="1"/>
  <c r="BH95" i="1"/>
  <c r="BI95" i="1"/>
  <c r="P96" i="1"/>
  <c r="AV96" i="1"/>
  <c r="AX96" i="1"/>
  <c r="AE96" i="1"/>
  <c r="AP96" i="1"/>
  <c r="AW96" i="1"/>
  <c r="AZ96" i="1"/>
  <c r="BD96" i="1"/>
  <c r="BA96" i="1"/>
  <c r="BH96" i="1"/>
  <c r="BJ96" i="1"/>
  <c r="BI96" i="1"/>
  <c r="BL96" i="1"/>
  <c r="P97" i="1"/>
  <c r="AE97" i="1"/>
  <c r="AP97" i="1"/>
  <c r="AW97" i="1"/>
  <c r="AZ97" i="1"/>
  <c r="BD97" i="1"/>
  <c r="BH97" i="1"/>
  <c r="BI97" i="1"/>
  <c r="BL97" i="1"/>
  <c r="P98" i="1"/>
  <c r="AE98" i="1"/>
  <c r="AP98" i="1"/>
  <c r="AW98" i="1"/>
  <c r="AZ98" i="1"/>
  <c r="BD98" i="1"/>
  <c r="BA98" i="1"/>
  <c r="BH98" i="1"/>
  <c r="BI98" i="1"/>
  <c r="BJ98" i="1"/>
  <c r="BL98" i="1"/>
  <c r="P99" i="1"/>
  <c r="BK99" i="1"/>
  <c r="AE99" i="1"/>
  <c r="AP99" i="1"/>
  <c r="AW99" i="1"/>
  <c r="AZ99" i="1"/>
  <c r="BD99" i="1"/>
  <c r="BH99" i="1"/>
  <c r="BI99" i="1"/>
  <c r="BJ99" i="1"/>
  <c r="BL99" i="1"/>
  <c r="P100" i="1"/>
  <c r="AE100" i="1"/>
  <c r="AP100" i="1"/>
  <c r="AW100" i="1"/>
  <c r="AZ100" i="1"/>
  <c r="BD100" i="1"/>
  <c r="BA100" i="1"/>
  <c r="BH100" i="1"/>
  <c r="BI100" i="1"/>
  <c r="BL100" i="1"/>
  <c r="P101" i="1"/>
  <c r="AE101" i="1"/>
  <c r="AP101" i="1"/>
  <c r="AW101" i="1"/>
  <c r="AZ101" i="1"/>
  <c r="BD101" i="1"/>
  <c r="BA101" i="1"/>
  <c r="BH101" i="1"/>
  <c r="BI101" i="1"/>
  <c r="BJ101" i="1"/>
  <c r="BL101" i="1"/>
  <c r="P102" i="1"/>
  <c r="AE102" i="1"/>
  <c r="AP102" i="1"/>
  <c r="AW102" i="1"/>
  <c r="AZ102" i="1"/>
  <c r="BD102" i="1"/>
  <c r="BA102" i="1"/>
  <c r="BH102" i="1"/>
  <c r="BI102" i="1"/>
  <c r="BL102" i="1"/>
  <c r="P103" i="1"/>
  <c r="AE103" i="1"/>
  <c r="AP103" i="1"/>
  <c r="AW103" i="1"/>
  <c r="AZ103" i="1"/>
  <c r="BD103" i="1"/>
  <c r="BA103" i="1"/>
  <c r="BH103" i="1"/>
  <c r="BI103" i="1"/>
  <c r="BJ103" i="1"/>
  <c r="BL103" i="1"/>
  <c r="P104" i="1"/>
  <c r="AE104" i="1"/>
  <c r="AP104" i="1"/>
  <c r="AW104" i="1"/>
  <c r="AZ104" i="1"/>
  <c r="BD104" i="1"/>
  <c r="BA104" i="1"/>
  <c r="BH104" i="1"/>
  <c r="BI104" i="1"/>
  <c r="BL104" i="1"/>
  <c r="P105" i="1"/>
  <c r="AE105" i="1"/>
  <c r="AP105" i="1"/>
  <c r="AW105" i="1"/>
  <c r="AZ105" i="1"/>
  <c r="BD105" i="1"/>
  <c r="BH105" i="1"/>
  <c r="BI105" i="1"/>
  <c r="BJ105" i="1"/>
  <c r="BL105" i="1"/>
  <c r="P106" i="1"/>
  <c r="BK106" i="1"/>
  <c r="BM106" i="1"/>
  <c r="AE106" i="1"/>
  <c r="AP106" i="1"/>
  <c r="AW106" i="1"/>
  <c r="AZ106" i="1"/>
  <c r="BD106" i="1"/>
  <c r="BA106" i="1"/>
  <c r="BH106" i="1"/>
  <c r="BI106" i="1"/>
  <c r="BL106" i="1"/>
  <c r="G107" i="1"/>
  <c r="AZ107" i="1"/>
  <c r="P107" i="1"/>
  <c r="AE107" i="1"/>
  <c r="AP107" i="1"/>
  <c r="BD107" i="1"/>
  <c r="BA107" i="1"/>
  <c r="BH107" i="1"/>
  <c r="BI107" i="1"/>
  <c r="BL107" i="1"/>
  <c r="G108" i="1"/>
  <c r="P108" i="1"/>
  <c r="AE108" i="1"/>
  <c r="BK108" i="1"/>
  <c r="BM108" i="1"/>
  <c r="AP108" i="1"/>
  <c r="BD108" i="1"/>
  <c r="BA108" i="1"/>
  <c r="BH108" i="1"/>
  <c r="BI108" i="1"/>
  <c r="BJ108" i="1"/>
  <c r="BL108" i="1"/>
  <c r="G109" i="1"/>
  <c r="P109" i="1"/>
  <c r="AE109" i="1"/>
  <c r="AP109" i="1"/>
  <c r="AW109" i="1"/>
  <c r="BD109" i="1"/>
  <c r="BA109" i="1"/>
  <c r="BH109" i="1"/>
  <c r="BI109" i="1"/>
  <c r="BL109" i="1"/>
  <c r="G110" i="1"/>
  <c r="AZ110" i="1"/>
  <c r="P110" i="1"/>
  <c r="AE110" i="1"/>
  <c r="AP110" i="1"/>
  <c r="BD110" i="1"/>
  <c r="BA110" i="1"/>
  <c r="BH110" i="1"/>
  <c r="BJ110" i="1"/>
  <c r="BI110" i="1"/>
  <c r="BL110" i="1"/>
  <c r="G111" i="1"/>
  <c r="AW111" i="1"/>
  <c r="P111" i="1"/>
  <c r="AE111" i="1"/>
  <c r="AP111" i="1"/>
  <c r="BD111" i="1"/>
  <c r="BA111" i="1"/>
  <c r="BH111" i="1"/>
  <c r="BJ111" i="1"/>
  <c r="BI111" i="1"/>
  <c r="BL111" i="1"/>
  <c r="G112" i="1"/>
  <c r="P112" i="1"/>
  <c r="AV112" i="1"/>
  <c r="AE112" i="1"/>
  <c r="AP112" i="1"/>
  <c r="BD112" i="1"/>
  <c r="BA112" i="1"/>
  <c r="BH112" i="1"/>
  <c r="BI112" i="1"/>
  <c r="BJ112" i="1"/>
  <c r="BL112" i="1"/>
  <c r="G113" i="1"/>
  <c r="P113" i="1"/>
  <c r="AE113" i="1"/>
  <c r="AP113" i="1"/>
  <c r="BD113" i="1"/>
  <c r="BA113" i="1"/>
  <c r="BH113" i="1"/>
  <c r="BI113" i="1"/>
  <c r="BL113" i="1"/>
  <c r="G114" i="1"/>
  <c r="AW114" i="1"/>
  <c r="BK114" i="1"/>
  <c r="BM114" i="1"/>
  <c r="P114" i="1"/>
  <c r="AE114" i="1"/>
  <c r="AP114" i="1"/>
  <c r="BD114" i="1"/>
  <c r="BA114" i="1"/>
  <c r="BH114" i="1"/>
  <c r="BI114" i="1"/>
  <c r="BL114" i="1"/>
  <c r="G115" i="1"/>
  <c r="AW115" i="1"/>
  <c r="P115" i="1"/>
  <c r="AE115" i="1"/>
  <c r="AP115" i="1"/>
  <c r="BD115" i="1"/>
  <c r="BA115" i="1"/>
  <c r="BH115" i="1"/>
  <c r="BI115" i="1"/>
  <c r="BJ115" i="1"/>
  <c r="BL115" i="1"/>
  <c r="G116" i="1"/>
  <c r="AZ116" i="1"/>
  <c r="P116" i="1"/>
  <c r="BK116" i="1"/>
  <c r="BM116" i="1"/>
  <c r="AE116" i="1"/>
  <c r="AP116" i="1"/>
  <c r="BD116" i="1"/>
  <c r="BA116" i="1"/>
  <c r="BH116" i="1"/>
  <c r="BI116" i="1"/>
  <c r="BL116" i="1"/>
  <c r="G117" i="1"/>
  <c r="BK117" i="1"/>
  <c r="P117" i="1"/>
  <c r="AE117" i="1"/>
  <c r="AP117" i="1"/>
  <c r="BD117" i="1"/>
  <c r="BH117" i="1"/>
  <c r="BI117" i="1"/>
  <c r="BJ117" i="1"/>
  <c r="BL117" i="1"/>
  <c r="G118" i="1"/>
  <c r="AV118" i="1"/>
  <c r="P118" i="1"/>
  <c r="AE118" i="1"/>
  <c r="AP118" i="1"/>
  <c r="BD118" i="1"/>
  <c r="BA118" i="1"/>
  <c r="BH118" i="1"/>
  <c r="BI118" i="1"/>
  <c r="BL118" i="1"/>
  <c r="G119" i="1"/>
  <c r="P119" i="1"/>
  <c r="AE119" i="1"/>
  <c r="AP119" i="1"/>
  <c r="BD119" i="1"/>
  <c r="BA119" i="1"/>
  <c r="BH119" i="1"/>
  <c r="BI119" i="1"/>
  <c r="BJ119" i="1"/>
  <c r="BL119" i="1"/>
  <c r="G120" i="1"/>
  <c r="BK120" i="1"/>
  <c r="P120" i="1"/>
  <c r="AE120" i="1"/>
  <c r="AP120" i="1"/>
  <c r="BD120" i="1"/>
  <c r="BA120" i="1"/>
  <c r="BH120" i="1"/>
  <c r="BI120" i="1"/>
  <c r="BJ120" i="1"/>
  <c r="BL120" i="1"/>
  <c r="G121" i="1"/>
  <c r="P121" i="1"/>
  <c r="AE121" i="1"/>
  <c r="AP121" i="1"/>
  <c r="BD121" i="1"/>
  <c r="BA121" i="1"/>
  <c r="BH121" i="1"/>
  <c r="BI121" i="1"/>
  <c r="BJ121" i="1"/>
  <c r="BL121" i="1"/>
  <c r="G122" i="1"/>
  <c r="AZ122" i="1"/>
  <c r="P122" i="1"/>
  <c r="AE122" i="1"/>
  <c r="AP122" i="1"/>
  <c r="BD122" i="1"/>
  <c r="BA122" i="1"/>
  <c r="BH122" i="1"/>
  <c r="BI122" i="1"/>
  <c r="BL122" i="1"/>
  <c r="G123" i="1"/>
  <c r="AZ123" i="1"/>
  <c r="P123" i="1"/>
  <c r="AE123" i="1"/>
  <c r="AP123" i="1"/>
  <c r="BD123" i="1"/>
  <c r="BH123" i="1"/>
  <c r="BI123" i="1"/>
  <c r="BL123" i="1"/>
  <c r="G124" i="1"/>
  <c r="P124" i="1"/>
  <c r="AV124" i="1"/>
  <c r="AE124" i="1"/>
  <c r="AP124" i="1"/>
  <c r="AZ124" i="1"/>
  <c r="BD124" i="1"/>
  <c r="BH124" i="1"/>
  <c r="BI124" i="1"/>
  <c r="BJ124" i="1"/>
  <c r="BL124" i="1"/>
  <c r="G125" i="1"/>
  <c r="AZ125" i="1"/>
  <c r="P125" i="1"/>
  <c r="AE125" i="1"/>
  <c r="AP125" i="1"/>
  <c r="BD125" i="1"/>
  <c r="BA125" i="1"/>
  <c r="BH125" i="1"/>
  <c r="BI125" i="1"/>
  <c r="BJ125" i="1"/>
  <c r="BL125" i="1"/>
  <c r="G126" i="1"/>
  <c r="BK126" i="1"/>
  <c r="BM126" i="1"/>
  <c r="P126" i="1"/>
  <c r="AE126" i="1"/>
  <c r="AP126" i="1"/>
  <c r="BD126" i="1"/>
  <c r="BA126" i="1"/>
  <c r="BH126" i="1"/>
  <c r="BI126" i="1"/>
  <c r="BL126" i="1"/>
  <c r="G127" i="1"/>
  <c r="P127" i="1"/>
  <c r="AE127" i="1"/>
  <c r="AP127" i="1"/>
  <c r="BD127" i="1"/>
  <c r="BA127" i="1"/>
  <c r="BH127" i="1"/>
  <c r="BI127" i="1"/>
  <c r="BJ127" i="1"/>
  <c r="BL127" i="1"/>
  <c r="G128" i="1"/>
  <c r="AZ128" i="1"/>
  <c r="P128" i="1"/>
  <c r="AE128" i="1"/>
  <c r="AP128" i="1"/>
  <c r="BD128" i="1"/>
  <c r="BA128" i="1"/>
  <c r="BH128" i="1"/>
  <c r="BI128" i="1"/>
  <c r="BJ128" i="1"/>
  <c r="BL128" i="1"/>
  <c r="BM128" i="1"/>
  <c r="G129" i="1"/>
  <c r="AZ129" i="1"/>
  <c r="P129" i="1"/>
  <c r="AE129" i="1"/>
  <c r="AP129" i="1"/>
  <c r="BD129" i="1"/>
  <c r="BH129" i="1"/>
  <c r="BI129" i="1"/>
  <c r="BJ129" i="1"/>
  <c r="BL129" i="1"/>
  <c r="G130" i="1"/>
  <c r="AW130" i="1"/>
  <c r="P130" i="1"/>
  <c r="AE130" i="1"/>
  <c r="AP130" i="1"/>
  <c r="BD130" i="1"/>
  <c r="BA130" i="1"/>
  <c r="BH130" i="1"/>
  <c r="BI130" i="1"/>
  <c r="BJ130" i="1"/>
  <c r="BL130" i="1"/>
  <c r="G131" i="1"/>
  <c r="AW131" i="1"/>
  <c r="P131" i="1"/>
  <c r="BK131" i="1"/>
  <c r="AE131" i="1"/>
  <c r="AP131" i="1"/>
  <c r="BD131" i="1"/>
  <c r="BH131" i="1"/>
  <c r="BI131" i="1"/>
  <c r="BL131" i="1"/>
  <c r="G132" i="1"/>
  <c r="AZ132" i="1"/>
  <c r="P132" i="1"/>
  <c r="AE132" i="1"/>
  <c r="AP132" i="1"/>
  <c r="BD132" i="1"/>
  <c r="BA132" i="1"/>
  <c r="BH132" i="1"/>
  <c r="BI132" i="1"/>
  <c r="BJ132" i="1"/>
  <c r="BL132" i="1"/>
  <c r="CG132" i="1"/>
  <c r="CH132" i="1"/>
  <c r="CI132" i="1"/>
  <c r="G133" i="1"/>
  <c r="AW133" i="1"/>
  <c r="P133" i="1"/>
  <c r="AE133" i="1"/>
  <c r="AP133" i="1"/>
  <c r="BD133" i="1"/>
  <c r="BA133" i="1"/>
  <c r="BH133" i="1"/>
  <c r="BI133" i="1"/>
  <c r="BL133" i="1"/>
  <c r="G134" i="1"/>
  <c r="P134" i="1"/>
  <c r="BK134" i="1"/>
  <c r="AE134" i="1"/>
  <c r="AP134" i="1"/>
  <c r="BD134" i="1"/>
  <c r="BA134" i="1"/>
  <c r="BH134" i="1"/>
  <c r="BI134" i="1"/>
  <c r="BL134" i="1"/>
  <c r="BM134" i="1"/>
  <c r="G135" i="1"/>
  <c r="P135" i="1"/>
  <c r="AV135" i="1"/>
  <c r="AE135" i="1"/>
  <c r="BK135" i="1"/>
  <c r="AP135" i="1"/>
  <c r="AZ135" i="1"/>
  <c r="BD135" i="1"/>
  <c r="BA135" i="1"/>
  <c r="BH135" i="1"/>
  <c r="BI135" i="1"/>
  <c r="BJ135" i="1"/>
  <c r="BL135" i="1"/>
  <c r="G136" i="1"/>
  <c r="AW136" i="1"/>
  <c r="P136" i="1"/>
  <c r="AE136" i="1"/>
  <c r="AV136" i="1"/>
  <c r="AP136" i="1"/>
  <c r="BD136" i="1"/>
  <c r="BH136" i="1"/>
  <c r="BI136" i="1"/>
  <c r="BJ136" i="1"/>
  <c r="BL136" i="1"/>
  <c r="G137" i="1"/>
  <c r="BK137" i="1"/>
  <c r="P137" i="1"/>
  <c r="AE137" i="1"/>
  <c r="AP137" i="1"/>
  <c r="BD137" i="1"/>
  <c r="BA137" i="1"/>
  <c r="BH137" i="1"/>
  <c r="BI137" i="1"/>
  <c r="BL137" i="1"/>
  <c r="BM137" i="1"/>
  <c r="G138" i="1"/>
  <c r="AZ138" i="1"/>
  <c r="P138" i="1"/>
  <c r="AE138" i="1"/>
  <c r="AP138" i="1"/>
  <c r="BD138" i="1"/>
  <c r="BA138" i="1"/>
  <c r="BH138" i="1"/>
  <c r="BI138" i="1"/>
  <c r="BJ138" i="1"/>
  <c r="BL138" i="1"/>
  <c r="CG138" i="1"/>
  <c r="CH138" i="1"/>
  <c r="CI138" i="1"/>
  <c r="G139" i="1"/>
  <c r="AZ139" i="1"/>
  <c r="AW139" i="1"/>
  <c r="P139" i="1"/>
  <c r="AE139" i="1"/>
  <c r="AV139" i="1"/>
  <c r="AP139" i="1"/>
  <c r="BD139" i="1"/>
  <c r="BA139" i="1"/>
  <c r="BH139" i="1"/>
  <c r="BI139" i="1"/>
  <c r="BJ139" i="1"/>
  <c r="BL139" i="1"/>
  <c r="G140" i="1"/>
  <c r="P140" i="1"/>
  <c r="AE140" i="1"/>
  <c r="AP140" i="1"/>
  <c r="BD140" i="1"/>
  <c r="BA140" i="1"/>
  <c r="BH140" i="1"/>
  <c r="BI140" i="1"/>
  <c r="BJ140" i="1"/>
  <c r="BL140" i="1"/>
  <c r="G141" i="1"/>
  <c r="AZ141" i="1"/>
  <c r="P141" i="1"/>
  <c r="AE141" i="1"/>
  <c r="AP141" i="1"/>
  <c r="BD141" i="1"/>
  <c r="BA141" i="1"/>
  <c r="BH141" i="1"/>
  <c r="BI141" i="1"/>
  <c r="BJ141" i="1"/>
  <c r="BL141" i="1"/>
  <c r="G142" i="1"/>
  <c r="AW142" i="1"/>
  <c r="P142" i="1"/>
  <c r="AE142" i="1"/>
  <c r="AP142" i="1"/>
  <c r="BD142" i="1"/>
  <c r="BA142" i="1"/>
  <c r="BH142" i="1"/>
  <c r="BI142" i="1"/>
  <c r="BL142" i="1"/>
  <c r="G143" i="1"/>
  <c r="P143" i="1"/>
  <c r="AV143" i="1"/>
  <c r="AX143" i="1"/>
  <c r="AE143" i="1"/>
  <c r="AP143" i="1"/>
  <c r="BD143" i="1"/>
  <c r="BH143" i="1"/>
  <c r="BI143" i="1"/>
  <c r="BL143" i="1"/>
  <c r="G144" i="1"/>
  <c r="P144" i="1"/>
  <c r="AE144" i="1"/>
  <c r="AP144" i="1"/>
  <c r="BD144" i="1"/>
  <c r="BA144" i="1"/>
  <c r="BH144" i="1"/>
  <c r="BI144" i="1"/>
  <c r="BL144" i="1"/>
  <c r="G145" i="1"/>
  <c r="AZ145" i="1"/>
  <c r="P145" i="1"/>
  <c r="AE145" i="1"/>
  <c r="AP145" i="1"/>
  <c r="BD145" i="1"/>
  <c r="BA145" i="1"/>
  <c r="BH145" i="1"/>
  <c r="BJ145" i="1"/>
  <c r="BI145" i="1"/>
  <c r="BL145" i="1"/>
  <c r="G146" i="1"/>
  <c r="P146" i="1"/>
  <c r="AE146" i="1"/>
  <c r="AP146" i="1"/>
  <c r="BD146" i="1"/>
  <c r="BA146" i="1"/>
  <c r="BH146" i="1"/>
  <c r="BI146" i="1"/>
  <c r="BJ146" i="1"/>
  <c r="BL146" i="1"/>
  <c r="G147" i="1"/>
  <c r="AZ147" i="1"/>
  <c r="P147" i="1"/>
  <c r="AE147" i="1"/>
  <c r="AP147" i="1"/>
  <c r="BD147" i="1"/>
  <c r="BA147" i="1"/>
  <c r="BH147" i="1"/>
  <c r="BI147" i="1"/>
  <c r="BL147" i="1"/>
  <c r="G148" i="1"/>
  <c r="AV148" i="1"/>
  <c r="P148" i="1"/>
  <c r="AE148" i="1"/>
  <c r="AP148" i="1"/>
  <c r="BD148" i="1"/>
  <c r="BA148" i="1"/>
  <c r="BH148" i="1"/>
  <c r="BI148" i="1"/>
  <c r="BL148" i="1"/>
  <c r="G149" i="1"/>
  <c r="P149" i="1"/>
  <c r="AE149" i="1"/>
  <c r="AP149" i="1"/>
  <c r="BD149" i="1"/>
  <c r="BH149" i="1"/>
  <c r="BI149" i="1"/>
  <c r="BJ149" i="1"/>
  <c r="BL149" i="1"/>
  <c r="BM149" i="1"/>
  <c r="G150" i="1"/>
  <c r="P150" i="1"/>
  <c r="AE150" i="1"/>
  <c r="AP150" i="1"/>
  <c r="BD150" i="1"/>
  <c r="BA150" i="1"/>
  <c r="BH150" i="1"/>
  <c r="BI150" i="1"/>
  <c r="BL150" i="1"/>
  <c r="G151" i="1"/>
  <c r="AW151" i="1"/>
  <c r="P151" i="1"/>
  <c r="AE151" i="1"/>
  <c r="AP151" i="1"/>
  <c r="BD151" i="1"/>
  <c r="BA151" i="1"/>
  <c r="BH151" i="1"/>
  <c r="BI151" i="1"/>
  <c r="BJ151" i="1"/>
  <c r="BL151" i="1"/>
  <c r="G152" i="1"/>
  <c r="P152" i="1"/>
  <c r="AE152" i="1"/>
  <c r="AP152" i="1"/>
  <c r="BD152" i="1"/>
  <c r="BA152" i="1"/>
  <c r="BH152" i="1"/>
  <c r="BI152" i="1"/>
  <c r="BL152" i="1"/>
  <c r="G153" i="1"/>
  <c r="AW153" i="1"/>
  <c r="P153" i="1"/>
  <c r="AE153" i="1"/>
  <c r="AP153" i="1"/>
  <c r="BD153" i="1"/>
  <c r="BA153" i="1"/>
  <c r="BH153" i="1"/>
  <c r="BI153" i="1"/>
  <c r="BJ153" i="1"/>
  <c r="BL153" i="1"/>
  <c r="G154" i="1"/>
  <c r="AZ154" i="1"/>
  <c r="P154" i="1"/>
  <c r="AE154" i="1"/>
  <c r="AP154" i="1"/>
  <c r="BD154" i="1"/>
  <c r="BH154" i="1"/>
  <c r="BI154" i="1"/>
  <c r="BL154" i="1"/>
  <c r="G155" i="1"/>
  <c r="AW155" i="1"/>
  <c r="P155" i="1"/>
  <c r="AE155" i="1"/>
  <c r="AP155" i="1"/>
  <c r="BD155" i="1"/>
  <c r="BA155" i="1"/>
  <c r="BH155" i="1"/>
  <c r="BI155" i="1"/>
  <c r="BL155" i="1"/>
  <c r="G156" i="1"/>
  <c r="AW156" i="1"/>
  <c r="P156" i="1"/>
  <c r="AE156" i="1"/>
  <c r="AP156" i="1"/>
  <c r="BD156" i="1"/>
  <c r="BH156" i="1"/>
  <c r="BI156" i="1"/>
  <c r="BL156" i="1"/>
  <c r="G157" i="1"/>
  <c r="AZ157" i="1"/>
  <c r="P157" i="1"/>
  <c r="AE157" i="1"/>
  <c r="AP157" i="1"/>
  <c r="BD157" i="1"/>
  <c r="BH157" i="1"/>
  <c r="BI157" i="1"/>
  <c r="BJ157" i="1"/>
  <c r="BL157" i="1"/>
  <c r="G158" i="1"/>
  <c r="P158" i="1"/>
  <c r="AE158" i="1"/>
  <c r="AP158" i="1"/>
  <c r="BD158" i="1"/>
  <c r="BA158" i="1"/>
  <c r="BH158" i="1"/>
  <c r="BI158" i="1"/>
  <c r="BJ158" i="1"/>
  <c r="BL158" i="1"/>
  <c r="G159" i="1"/>
  <c r="AZ159" i="1"/>
  <c r="P159" i="1"/>
  <c r="AE159" i="1"/>
  <c r="AP159" i="1"/>
  <c r="BD159" i="1"/>
  <c r="BA159" i="1"/>
  <c r="BH159" i="1"/>
  <c r="BI159" i="1"/>
  <c r="BL159" i="1"/>
  <c r="G160" i="1"/>
  <c r="P160" i="1"/>
  <c r="AE160" i="1"/>
  <c r="AP160" i="1"/>
  <c r="BD160" i="1"/>
  <c r="BA160" i="1"/>
  <c r="BH160" i="1"/>
  <c r="BI160" i="1"/>
  <c r="BL160" i="1"/>
  <c r="G161" i="1"/>
  <c r="P161" i="1"/>
  <c r="AE161" i="1"/>
  <c r="AP161" i="1"/>
  <c r="BD161" i="1"/>
  <c r="BA161" i="1"/>
  <c r="BH161" i="1"/>
  <c r="BI161" i="1"/>
  <c r="BJ161" i="1"/>
  <c r="BL161" i="1"/>
  <c r="BM161" i="1"/>
  <c r="G162" i="1"/>
  <c r="P162" i="1"/>
  <c r="AE162" i="1"/>
  <c r="AV162" i="1"/>
  <c r="AP162" i="1"/>
  <c r="BD162" i="1"/>
  <c r="BA162" i="1"/>
  <c r="BH162" i="1"/>
  <c r="BI162" i="1"/>
  <c r="BJ162" i="1"/>
  <c r="BL162" i="1"/>
  <c r="G163" i="1"/>
  <c r="P163" i="1"/>
  <c r="AE163" i="1"/>
  <c r="AP163" i="1"/>
  <c r="BD163" i="1"/>
  <c r="BA163" i="1"/>
  <c r="BH163" i="1"/>
  <c r="BJ163" i="1"/>
  <c r="BI163" i="1"/>
  <c r="BL163" i="1"/>
  <c r="G164" i="1"/>
  <c r="AZ164" i="1"/>
  <c r="P164" i="1"/>
  <c r="AE164" i="1"/>
  <c r="AP164" i="1"/>
  <c r="BD164" i="1"/>
  <c r="BA164" i="1"/>
  <c r="BH164" i="1"/>
  <c r="BI164" i="1"/>
  <c r="BJ164" i="1"/>
  <c r="BL164" i="1"/>
  <c r="G165" i="1"/>
  <c r="AZ165" i="1"/>
  <c r="P165" i="1"/>
  <c r="AE165" i="1"/>
  <c r="AP165" i="1"/>
  <c r="BD165" i="1"/>
  <c r="BA165" i="1"/>
  <c r="BH165" i="1"/>
  <c r="BI165" i="1"/>
  <c r="BL165" i="1"/>
  <c r="G166" i="1"/>
  <c r="P166" i="1"/>
  <c r="AE166" i="1"/>
  <c r="AP166" i="1"/>
  <c r="BD166" i="1"/>
  <c r="BA166" i="1"/>
  <c r="BH166" i="1"/>
  <c r="BI166" i="1"/>
  <c r="BJ166" i="1"/>
  <c r="BL166" i="1"/>
  <c r="G167" i="1"/>
  <c r="AZ167" i="1"/>
  <c r="P167" i="1"/>
  <c r="BK167" i="1"/>
  <c r="AE167" i="1"/>
  <c r="AP167" i="1"/>
  <c r="BD167" i="1"/>
  <c r="BA167" i="1"/>
  <c r="BH167" i="1"/>
  <c r="BI167" i="1"/>
  <c r="BJ167" i="1"/>
  <c r="BL167" i="1"/>
  <c r="G168" i="1"/>
  <c r="P168" i="1"/>
  <c r="AE168" i="1"/>
  <c r="AP168" i="1"/>
  <c r="BD168" i="1"/>
  <c r="BA168" i="1"/>
  <c r="BH168" i="1"/>
  <c r="BJ168" i="1"/>
  <c r="BI168" i="1"/>
  <c r="BL168" i="1"/>
  <c r="G169" i="1"/>
  <c r="AW169" i="1"/>
  <c r="P169" i="1"/>
  <c r="AE169" i="1"/>
  <c r="AP169" i="1"/>
  <c r="BD169" i="1"/>
  <c r="BH169" i="1"/>
  <c r="BI169" i="1"/>
  <c r="BJ169" i="1"/>
  <c r="BL169" i="1"/>
  <c r="G170" i="1"/>
  <c r="AZ170" i="1"/>
  <c r="P170" i="1"/>
  <c r="AE170" i="1"/>
  <c r="AP170" i="1"/>
  <c r="BD170" i="1"/>
  <c r="BH170" i="1"/>
  <c r="BI170" i="1"/>
  <c r="BJ170" i="1"/>
  <c r="BL170" i="1"/>
  <c r="G171" i="1"/>
  <c r="AZ171" i="1"/>
  <c r="P171" i="1"/>
  <c r="AE171" i="1"/>
  <c r="AP171" i="1"/>
  <c r="BD171" i="1"/>
  <c r="BA171" i="1"/>
  <c r="BH171" i="1"/>
  <c r="BJ171" i="1"/>
  <c r="BI171" i="1"/>
  <c r="BL171" i="1"/>
  <c r="G172" i="1"/>
  <c r="P172" i="1"/>
  <c r="AE172" i="1"/>
  <c r="AP172" i="1"/>
  <c r="BD172" i="1"/>
  <c r="BH172" i="1"/>
  <c r="BI172" i="1"/>
  <c r="BL172" i="1"/>
  <c r="G173" i="1"/>
  <c r="AW173" i="1"/>
  <c r="P173" i="1"/>
  <c r="AV173" i="1"/>
  <c r="AX173" i="1"/>
  <c r="AE173" i="1"/>
  <c r="AP173" i="1"/>
  <c r="BD173" i="1"/>
  <c r="BH173" i="1"/>
  <c r="BI173" i="1"/>
  <c r="BL173" i="1"/>
  <c r="G174" i="1"/>
  <c r="BK174" i="1"/>
  <c r="P174" i="1"/>
  <c r="AE174" i="1"/>
  <c r="AP174" i="1"/>
  <c r="BD174" i="1"/>
  <c r="BH174" i="1"/>
  <c r="BI174" i="1"/>
  <c r="BL174" i="1"/>
  <c r="G175" i="1"/>
  <c r="BK175" i="1"/>
  <c r="P175" i="1"/>
  <c r="AE175" i="1"/>
  <c r="AP175" i="1"/>
  <c r="BD175" i="1"/>
  <c r="BA175" i="1"/>
  <c r="BH175" i="1"/>
  <c r="BI175" i="1"/>
  <c r="BL175" i="1"/>
  <c r="G176" i="1"/>
  <c r="AZ176" i="1"/>
  <c r="P176" i="1"/>
  <c r="AE176" i="1"/>
  <c r="AP176" i="1"/>
  <c r="AW176" i="1"/>
  <c r="BD176" i="1"/>
  <c r="BA176" i="1"/>
  <c r="BH176" i="1"/>
  <c r="BI176" i="1"/>
  <c r="BJ176" i="1"/>
  <c r="BL176" i="1"/>
  <c r="G177" i="1"/>
  <c r="AZ177" i="1"/>
  <c r="P177" i="1"/>
  <c r="AE177" i="1"/>
  <c r="AP177" i="1"/>
  <c r="BD177" i="1"/>
  <c r="BA177" i="1"/>
  <c r="BH177" i="1"/>
  <c r="BI177" i="1"/>
  <c r="BL177" i="1"/>
  <c r="G178" i="1"/>
  <c r="AW178" i="1"/>
  <c r="P178" i="1"/>
  <c r="AE178" i="1"/>
  <c r="AP178" i="1"/>
  <c r="BD178" i="1"/>
  <c r="BH178" i="1"/>
  <c r="BI178" i="1"/>
  <c r="BJ178" i="1"/>
  <c r="BL178" i="1"/>
  <c r="G179" i="1"/>
  <c r="AW179" i="1"/>
  <c r="P179" i="1"/>
  <c r="AE179" i="1"/>
  <c r="AP179" i="1"/>
  <c r="BD179" i="1"/>
  <c r="BA179" i="1"/>
  <c r="BH179" i="1"/>
  <c r="BI179" i="1"/>
  <c r="BJ179" i="1"/>
  <c r="BL179" i="1"/>
  <c r="G180" i="1"/>
  <c r="P180" i="1"/>
  <c r="AE180" i="1"/>
  <c r="AP180" i="1"/>
  <c r="BD180" i="1"/>
  <c r="BH180" i="1"/>
  <c r="BI180" i="1"/>
  <c r="BJ180" i="1"/>
  <c r="BL180" i="1"/>
  <c r="G181" i="1"/>
  <c r="P181" i="1"/>
  <c r="BK181" i="1"/>
  <c r="AE181" i="1"/>
  <c r="AP181" i="1"/>
  <c r="BD181" i="1"/>
  <c r="BA181" i="1"/>
  <c r="BH181" i="1"/>
  <c r="BI181" i="1"/>
  <c r="BL181" i="1"/>
  <c r="G182" i="1"/>
  <c r="AZ182" i="1"/>
  <c r="P182" i="1"/>
  <c r="AE182" i="1"/>
  <c r="AP182" i="1"/>
  <c r="BD182" i="1"/>
  <c r="BA182" i="1"/>
  <c r="BH182" i="1"/>
  <c r="BI182" i="1"/>
  <c r="BJ182" i="1"/>
  <c r="BL182" i="1"/>
  <c r="G183" i="1"/>
  <c r="AW183" i="1"/>
  <c r="P183" i="1"/>
  <c r="AE183" i="1"/>
  <c r="AP183" i="1"/>
  <c r="BD183" i="1"/>
  <c r="BA183" i="1"/>
  <c r="BH183" i="1"/>
  <c r="BI183" i="1"/>
  <c r="BJ183" i="1"/>
  <c r="BL183" i="1"/>
  <c r="G184" i="1"/>
  <c r="AW184" i="1"/>
  <c r="P184" i="1"/>
  <c r="AE184" i="1"/>
  <c r="AP184" i="1"/>
  <c r="BD184" i="1"/>
  <c r="BA184" i="1"/>
  <c r="BH184" i="1"/>
  <c r="BI184" i="1"/>
  <c r="BJ184" i="1"/>
  <c r="BL184" i="1"/>
  <c r="G185" i="1"/>
  <c r="AW185" i="1"/>
  <c r="P185" i="1"/>
  <c r="AE185" i="1"/>
  <c r="AP185" i="1"/>
  <c r="BD185" i="1"/>
  <c r="BA185" i="1"/>
  <c r="BH185" i="1"/>
  <c r="BI185" i="1"/>
  <c r="BJ185" i="1"/>
  <c r="BL185" i="1"/>
  <c r="G186" i="1"/>
  <c r="P186" i="1"/>
  <c r="AE186" i="1"/>
  <c r="AP186" i="1"/>
  <c r="BD186" i="1"/>
  <c r="BA186" i="1"/>
  <c r="BH186" i="1"/>
  <c r="BI186" i="1"/>
  <c r="BL186" i="1"/>
  <c r="G187" i="1"/>
  <c r="AV187" i="1"/>
  <c r="AW187" i="1"/>
  <c r="P187" i="1"/>
  <c r="AE187" i="1"/>
  <c r="AP187" i="1"/>
  <c r="BD187" i="1"/>
  <c r="BA187" i="1"/>
  <c r="BH187" i="1"/>
  <c r="BI187" i="1"/>
  <c r="BJ187" i="1"/>
  <c r="BL187" i="1"/>
  <c r="G188" i="1"/>
  <c r="P188" i="1"/>
  <c r="AV188" i="1"/>
  <c r="AX188" i="1"/>
  <c r="AE188" i="1"/>
  <c r="AP188" i="1"/>
  <c r="BD188" i="1"/>
  <c r="BA188" i="1"/>
  <c r="BH188" i="1"/>
  <c r="BI188" i="1"/>
  <c r="BL188" i="1"/>
  <c r="G189" i="1"/>
  <c r="AZ189" i="1"/>
  <c r="P189" i="1"/>
  <c r="AE189" i="1"/>
  <c r="AP189" i="1"/>
  <c r="BD189" i="1"/>
  <c r="BH189" i="1"/>
  <c r="BI189" i="1"/>
  <c r="BJ189" i="1"/>
  <c r="BL189" i="1"/>
  <c r="G190" i="1"/>
  <c r="AZ190" i="1"/>
  <c r="P190" i="1"/>
  <c r="AE190" i="1"/>
  <c r="AP190" i="1"/>
  <c r="BD190" i="1"/>
  <c r="BA190" i="1"/>
  <c r="BH190" i="1"/>
  <c r="BJ190" i="1"/>
  <c r="BI190" i="1"/>
  <c r="BL190" i="1"/>
  <c r="G191" i="1"/>
  <c r="P191" i="1"/>
  <c r="AE191" i="1"/>
  <c r="AP191" i="1"/>
  <c r="BD191" i="1"/>
  <c r="BH191" i="1"/>
  <c r="BI191" i="1"/>
  <c r="BL191" i="1"/>
  <c r="G192" i="1"/>
  <c r="AZ192" i="1"/>
  <c r="P192" i="1"/>
  <c r="AE192" i="1"/>
  <c r="AP192" i="1"/>
  <c r="BD192" i="1"/>
  <c r="BH192" i="1"/>
  <c r="BI192" i="1"/>
  <c r="BL192" i="1"/>
  <c r="G193" i="1"/>
  <c r="AZ193" i="1"/>
  <c r="P193" i="1"/>
  <c r="AE193" i="1"/>
  <c r="AP193" i="1"/>
  <c r="BD193" i="1"/>
  <c r="BA193" i="1"/>
  <c r="BH193" i="1"/>
  <c r="BI193" i="1"/>
  <c r="BJ193" i="1"/>
  <c r="BL193" i="1"/>
  <c r="G194" i="1"/>
  <c r="AW194" i="1"/>
  <c r="P194" i="1"/>
  <c r="AE194" i="1"/>
  <c r="AP194" i="1"/>
  <c r="BD194" i="1"/>
  <c r="BA194" i="1"/>
  <c r="BH194" i="1"/>
  <c r="BJ194" i="1"/>
  <c r="BI194" i="1"/>
  <c r="BL194" i="1"/>
  <c r="G195" i="1"/>
  <c r="AZ195" i="1"/>
  <c r="P195" i="1"/>
  <c r="AE195" i="1"/>
  <c r="AP195" i="1"/>
  <c r="BD195" i="1"/>
  <c r="BA195" i="1"/>
  <c r="BH195" i="1"/>
  <c r="BJ195" i="1"/>
  <c r="BI195" i="1"/>
  <c r="BL195" i="1"/>
  <c r="G196" i="1"/>
  <c r="AW196" i="1"/>
  <c r="P196" i="1"/>
  <c r="AE196" i="1"/>
  <c r="AP196" i="1"/>
  <c r="BD196" i="1"/>
  <c r="BA196" i="1"/>
  <c r="BH196" i="1"/>
  <c r="BI196" i="1"/>
  <c r="BL196" i="1"/>
  <c r="G197" i="1"/>
  <c r="P197" i="1"/>
  <c r="AE197" i="1"/>
  <c r="AP197" i="1"/>
  <c r="BD197" i="1"/>
  <c r="BA197" i="1"/>
  <c r="BH197" i="1"/>
  <c r="BJ197" i="1"/>
  <c r="BI197" i="1"/>
  <c r="BL197" i="1"/>
  <c r="G198" i="1"/>
  <c r="P198" i="1"/>
  <c r="AE198" i="1"/>
  <c r="AP198" i="1"/>
  <c r="BD198" i="1"/>
  <c r="BA198" i="1"/>
  <c r="BH198" i="1"/>
  <c r="BI198" i="1"/>
  <c r="BL198" i="1"/>
  <c r="BM198" i="1"/>
  <c r="G199" i="1"/>
  <c r="BK199" i="1"/>
  <c r="P199" i="1"/>
  <c r="AE199" i="1"/>
  <c r="AP199" i="1"/>
  <c r="BD199" i="1"/>
  <c r="BA199" i="1"/>
  <c r="BH199" i="1"/>
  <c r="BI199" i="1"/>
  <c r="BJ199" i="1"/>
  <c r="BL199" i="1"/>
  <c r="G200" i="1"/>
  <c r="AW200" i="1"/>
  <c r="P200" i="1"/>
  <c r="AV200" i="1"/>
  <c r="AX200" i="1"/>
  <c r="AE200" i="1"/>
  <c r="AP200" i="1"/>
  <c r="AZ200" i="1"/>
  <c r="BD200" i="1"/>
  <c r="BA200" i="1"/>
  <c r="BH200" i="1"/>
  <c r="BI200" i="1"/>
  <c r="BJ200" i="1"/>
  <c r="BL200" i="1"/>
  <c r="G201" i="1"/>
  <c r="P201" i="1"/>
  <c r="AE201" i="1"/>
  <c r="AP201" i="1"/>
  <c r="BD201" i="1"/>
  <c r="BA201" i="1"/>
  <c r="BH201" i="1"/>
  <c r="BI201" i="1"/>
  <c r="BL201" i="1"/>
  <c r="G202" i="1"/>
  <c r="AW202" i="1"/>
  <c r="P202" i="1"/>
  <c r="AE202" i="1"/>
  <c r="AP202" i="1"/>
  <c r="BD202" i="1"/>
  <c r="BA202" i="1"/>
  <c r="BH202" i="1"/>
  <c r="BI202" i="1"/>
  <c r="BL202" i="1"/>
  <c r="G203" i="1"/>
  <c r="AW203" i="1"/>
  <c r="P203" i="1"/>
  <c r="AE203" i="1"/>
  <c r="BK203" i="1"/>
  <c r="BM203" i="1"/>
  <c r="AP203" i="1"/>
  <c r="BD203" i="1"/>
  <c r="BH203" i="1"/>
  <c r="BI203" i="1"/>
  <c r="BJ203" i="1"/>
  <c r="BL203" i="1"/>
  <c r="G204" i="1"/>
  <c r="AW204" i="1"/>
  <c r="P204" i="1"/>
  <c r="AE204" i="1"/>
  <c r="AP204" i="1"/>
  <c r="BD204" i="1"/>
  <c r="BA204" i="1"/>
  <c r="BH204" i="1"/>
  <c r="BI204" i="1"/>
  <c r="BJ204" i="1"/>
  <c r="BL204" i="1"/>
  <c r="G205" i="1"/>
  <c r="AW205" i="1"/>
  <c r="P205" i="1"/>
  <c r="AE205" i="1"/>
  <c r="AP205" i="1"/>
  <c r="BD205" i="1"/>
  <c r="BA205" i="1"/>
  <c r="BH205" i="1"/>
  <c r="BI205" i="1"/>
  <c r="BL205" i="1"/>
  <c r="G206" i="1"/>
  <c r="AW206" i="1"/>
  <c r="P206" i="1"/>
  <c r="AE206" i="1"/>
  <c r="AP206" i="1"/>
  <c r="BD206" i="1"/>
  <c r="BA206" i="1"/>
  <c r="BH206" i="1"/>
  <c r="BI206" i="1"/>
  <c r="BJ206" i="1"/>
  <c r="BL206" i="1"/>
  <c r="G207" i="1"/>
  <c r="P207" i="1"/>
  <c r="AE207" i="1"/>
  <c r="AP207" i="1"/>
  <c r="BD207" i="1"/>
  <c r="BA207" i="1"/>
  <c r="BH207" i="1"/>
  <c r="BI207" i="1"/>
  <c r="BJ207" i="1"/>
  <c r="BL207" i="1"/>
  <c r="G208" i="1"/>
  <c r="AW208" i="1"/>
  <c r="P208" i="1"/>
  <c r="AE208" i="1"/>
  <c r="AP208" i="1"/>
  <c r="BD208" i="1"/>
  <c r="BH208" i="1"/>
  <c r="BI208" i="1"/>
  <c r="BJ208" i="1"/>
  <c r="BL208" i="1"/>
  <c r="G209" i="1"/>
  <c r="AW209" i="1"/>
  <c r="P209" i="1"/>
  <c r="BK209" i="1"/>
  <c r="AE209" i="1"/>
  <c r="AP209" i="1"/>
  <c r="BD209" i="1"/>
  <c r="BA209" i="1"/>
  <c r="BH209" i="1"/>
  <c r="BI209" i="1"/>
  <c r="BL209" i="1"/>
  <c r="G210" i="1"/>
  <c r="P210" i="1"/>
  <c r="AE210" i="1"/>
  <c r="AP210" i="1"/>
  <c r="BD210" i="1"/>
  <c r="BA210" i="1"/>
  <c r="BH210" i="1"/>
  <c r="BI210" i="1"/>
  <c r="BJ210" i="1"/>
  <c r="BL210" i="1"/>
  <c r="G211" i="1"/>
  <c r="AW211" i="1"/>
  <c r="P211" i="1"/>
  <c r="AE211" i="1"/>
  <c r="AP211" i="1"/>
  <c r="BD211" i="1"/>
  <c r="BA211" i="1"/>
  <c r="BH211" i="1"/>
  <c r="BI211" i="1"/>
  <c r="BJ211" i="1"/>
  <c r="BL211" i="1"/>
  <c r="G212" i="1"/>
  <c r="AW212" i="1"/>
  <c r="P212" i="1"/>
  <c r="AE212" i="1"/>
  <c r="AP212" i="1"/>
  <c r="BD212" i="1"/>
  <c r="BA212" i="1"/>
  <c r="BH212" i="1"/>
  <c r="BI212" i="1"/>
  <c r="BL212" i="1"/>
  <c r="G213" i="1"/>
  <c r="P213" i="1"/>
  <c r="AE213" i="1"/>
  <c r="AP213" i="1"/>
  <c r="BD213" i="1"/>
  <c r="BA213" i="1"/>
  <c r="BH213" i="1"/>
  <c r="BI213" i="1"/>
  <c r="BJ213" i="1"/>
  <c r="BL213" i="1"/>
  <c r="BM213" i="1"/>
  <c r="G214" i="1"/>
  <c r="AW214" i="1"/>
  <c r="P214" i="1"/>
  <c r="BK214" i="1"/>
  <c r="AE214" i="1"/>
  <c r="AP214" i="1"/>
  <c r="BD214" i="1"/>
  <c r="BA214" i="1"/>
  <c r="BH214" i="1"/>
  <c r="BI214" i="1"/>
  <c r="BL214" i="1"/>
  <c r="G215" i="1"/>
  <c r="P215" i="1"/>
  <c r="AE215" i="1"/>
  <c r="AP215" i="1"/>
  <c r="BD215" i="1"/>
  <c r="BA215" i="1"/>
  <c r="BH215" i="1"/>
  <c r="BI215" i="1"/>
  <c r="BJ215" i="1"/>
  <c r="BL215" i="1"/>
  <c r="G216" i="1"/>
  <c r="P216" i="1"/>
  <c r="BK216" i="1"/>
  <c r="BM216" i="1"/>
  <c r="AE216" i="1"/>
  <c r="AP216" i="1"/>
  <c r="BD216" i="1"/>
  <c r="BA216" i="1"/>
  <c r="BH216" i="1"/>
  <c r="BI216" i="1"/>
  <c r="BJ216" i="1"/>
  <c r="BL216" i="1"/>
  <c r="G217" i="1"/>
  <c r="P217" i="1"/>
  <c r="AE217" i="1"/>
  <c r="BK217" i="1"/>
  <c r="BM217" i="1"/>
  <c r="AK217" i="1"/>
  <c r="AP217" i="1"/>
  <c r="BD217" i="1"/>
  <c r="BA217" i="1"/>
  <c r="BH217" i="1"/>
  <c r="BI217" i="1"/>
  <c r="BL217" i="1"/>
  <c r="G218" i="1"/>
  <c r="AW218" i="1"/>
  <c r="P218" i="1"/>
  <c r="AE218" i="1"/>
  <c r="BK218" i="1"/>
  <c r="AK218" i="1"/>
  <c r="AP218" i="1"/>
  <c r="BD218" i="1"/>
  <c r="BH218" i="1"/>
  <c r="BI218" i="1"/>
  <c r="BL218" i="1"/>
  <c r="G219" i="1"/>
  <c r="P219" i="1"/>
  <c r="AE219" i="1"/>
  <c r="AK219" i="1"/>
  <c r="AP219" i="1"/>
  <c r="BD219" i="1"/>
  <c r="BA219" i="1"/>
  <c r="BH219" i="1"/>
  <c r="BI219" i="1"/>
  <c r="BJ219" i="1"/>
  <c r="BL219" i="1"/>
  <c r="G220" i="1"/>
  <c r="AZ220" i="1"/>
  <c r="P220" i="1"/>
  <c r="AE220" i="1"/>
  <c r="AK220" i="1"/>
  <c r="AP220" i="1"/>
  <c r="BD220" i="1"/>
  <c r="BA220" i="1"/>
  <c r="BH220" i="1"/>
  <c r="BI220" i="1"/>
  <c r="BL220" i="1"/>
  <c r="G221" i="1"/>
  <c r="P221" i="1"/>
  <c r="AE221" i="1"/>
  <c r="AK221" i="1"/>
  <c r="AP221" i="1"/>
  <c r="BD221" i="1"/>
  <c r="BA221" i="1"/>
  <c r="BH221" i="1"/>
  <c r="BJ221" i="1"/>
  <c r="BI221" i="1"/>
  <c r="BL221" i="1"/>
  <c r="G222" i="1"/>
  <c r="AV222" i="1"/>
  <c r="P222" i="1"/>
  <c r="AE222" i="1"/>
  <c r="AK222" i="1"/>
  <c r="AP222" i="1"/>
  <c r="BD222" i="1"/>
  <c r="BA222" i="1"/>
  <c r="BH222" i="1"/>
  <c r="BJ222" i="1"/>
  <c r="BI222" i="1"/>
  <c r="BL222" i="1"/>
  <c r="G223" i="1"/>
  <c r="AW223" i="1"/>
  <c r="P223" i="1"/>
  <c r="AE223" i="1"/>
  <c r="AK223" i="1"/>
  <c r="AP223" i="1"/>
  <c r="BD223" i="1"/>
  <c r="BH223" i="1"/>
  <c r="BI223" i="1"/>
  <c r="BJ223" i="1"/>
  <c r="BL223" i="1"/>
  <c r="G224" i="1"/>
  <c r="AW224" i="1"/>
  <c r="P224" i="1"/>
  <c r="AE224" i="1"/>
  <c r="AK224" i="1"/>
  <c r="AP224" i="1"/>
  <c r="BD224" i="1"/>
  <c r="BH224" i="1"/>
  <c r="BI224" i="1"/>
  <c r="BJ224" i="1"/>
  <c r="BL224" i="1"/>
  <c r="G225" i="1"/>
  <c r="AZ225" i="1"/>
  <c r="P225" i="1"/>
  <c r="AE225" i="1"/>
  <c r="AK225" i="1"/>
  <c r="AP225" i="1"/>
  <c r="BD225" i="1"/>
  <c r="BH225" i="1"/>
  <c r="BI225" i="1"/>
  <c r="BL225" i="1"/>
  <c r="G226" i="1"/>
  <c r="AW226" i="1"/>
  <c r="P226" i="1"/>
  <c r="AE226" i="1"/>
  <c r="AK226" i="1"/>
  <c r="AP226" i="1"/>
  <c r="BD226" i="1"/>
  <c r="BH226" i="1"/>
  <c r="BI226" i="1"/>
  <c r="BL226" i="1"/>
  <c r="G227" i="1"/>
  <c r="AW227" i="1"/>
  <c r="P227" i="1"/>
  <c r="BK227" i="1" a="1"/>
  <c r="BK227" i="1"/>
  <c r="AE227" i="1"/>
  <c r="AK227" i="1"/>
  <c r="AP227" i="1"/>
  <c r="BD227" i="1"/>
  <c r="BA227" i="1"/>
  <c r="BH227" i="1"/>
  <c r="BI227" i="1"/>
  <c r="BJ227" i="1"/>
  <c r="BL227" i="1"/>
  <c r="G228" i="1"/>
  <c r="P228" i="1"/>
  <c r="BK228" i="1" a="1"/>
  <c r="BK228" i="1"/>
  <c r="AE228" i="1"/>
  <c r="AK228" i="1"/>
  <c r="AP228" i="1"/>
  <c r="BD228" i="1"/>
  <c r="BA228" i="1"/>
  <c r="BH228" i="1"/>
  <c r="BI228" i="1"/>
  <c r="BJ228" i="1"/>
  <c r="BL228" i="1"/>
  <c r="G229" i="1"/>
  <c r="AW229" i="1"/>
  <c r="P229" i="1"/>
  <c r="AE229" i="1"/>
  <c r="AK229" i="1"/>
  <c r="AP229" i="1"/>
  <c r="BD229" i="1"/>
  <c r="BA229" i="1"/>
  <c r="BH229" i="1"/>
  <c r="BI229" i="1"/>
  <c r="BJ229" i="1"/>
  <c r="BL229" i="1"/>
  <c r="G230" i="1"/>
  <c r="BK230" i="1" a="1"/>
  <c r="BK230" i="1"/>
  <c r="BM230" i="1"/>
  <c r="P230" i="1"/>
  <c r="AE230" i="1"/>
  <c r="AK230" i="1"/>
  <c r="AP230" i="1"/>
  <c r="BD230" i="1"/>
  <c r="BA230" i="1"/>
  <c r="BH230" i="1"/>
  <c r="BI230" i="1"/>
  <c r="BJ230" i="1"/>
  <c r="BL230" i="1"/>
  <c r="G231" i="1"/>
  <c r="AW231" i="1"/>
  <c r="P231" i="1"/>
  <c r="AE231" i="1"/>
  <c r="AK231" i="1"/>
  <c r="AP231" i="1"/>
  <c r="BD231" i="1"/>
  <c r="BA231" i="1"/>
  <c r="BH231" i="1"/>
  <c r="BI231" i="1"/>
  <c r="BJ231" i="1"/>
  <c r="BL231" i="1"/>
  <c r="G232" i="1"/>
  <c r="AW232" i="1"/>
  <c r="P232" i="1"/>
  <c r="AE232" i="1"/>
  <c r="AK232" i="1"/>
  <c r="AP232" i="1"/>
  <c r="BD232" i="1"/>
  <c r="BH232" i="1"/>
  <c r="BI232" i="1"/>
  <c r="BL232" i="1"/>
  <c r="G233" i="1"/>
  <c r="AZ233" i="1"/>
  <c r="P233" i="1"/>
  <c r="AE233" i="1"/>
  <c r="AK233" i="1"/>
  <c r="AP233" i="1"/>
  <c r="BD233" i="1"/>
  <c r="BH233" i="1"/>
  <c r="BI233" i="1"/>
  <c r="BL233" i="1"/>
  <c r="G234" i="1"/>
  <c r="P234" i="1"/>
  <c r="AE234" i="1"/>
  <c r="AK234" i="1"/>
  <c r="AP234" i="1"/>
  <c r="BD234" i="1"/>
  <c r="BH234" i="1"/>
  <c r="BJ234" i="1"/>
  <c r="BI234" i="1"/>
  <c r="BL234" i="1"/>
  <c r="G235" i="1"/>
  <c r="AW235" i="1"/>
  <c r="P235" i="1"/>
  <c r="AE235" i="1"/>
  <c r="AK235" i="1"/>
  <c r="AP235" i="1"/>
  <c r="BD235" i="1"/>
  <c r="BA235" i="1"/>
  <c r="BH235" i="1"/>
  <c r="BJ235" i="1"/>
  <c r="BI235" i="1"/>
  <c r="BL235" i="1"/>
  <c r="G236" i="1"/>
  <c r="P236" i="1"/>
  <c r="AE236" i="1"/>
  <c r="AK236" i="1"/>
  <c r="AP236" i="1"/>
  <c r="BD236" i="1"/>
  <c r="BA236" i="1"/>
  <c r="BH236" i="1"/>
  <c r="BI236" i="1"/>
  <c r="BJ236" i="1"/>
  <c r="BL236" i="1"/>
  <c r="G237" i="1"/>
  <c r="AZ237" i="1"/>
  <c r="P237" i="1"/>
  <c r="AE237" i="1"/>
  <c r="AK237" i="1"/>
  <c r="AP237" i="1"/>
  <c r="BD237" i="1"/>
  <c r="BH237" i="1"/>
  <c r="BI237" i="1"/>
  <c r="BJ237" i="1"/>
  <c r="BL237" i="1"/>
  <c r="G238" i="1"/>
  <c r="AW238" i="1"/>
  <c r="P238" i="1"/>
  <c r="AE238" i="1"/>
  <c r="AK238" i="1"/>
  <c r="AP238" i="1"/>
  <c r="BD238" i="1"/>
  <c r="BA238" i="1"/>
  <c r="BH238" i="1"/>
  <c r="BI238" i="1"/>
  <c r="BJ238" i="1"/>
  <c r="BL238" i="1"/>
  <c r="G239" i="1"/>
  <c r="AW239" i="1"/>
  <c r="P239" i="1"/>
  <c r="AE239" i="1"/>
  <c r="AK239" i="1"/>
  <c r="BK239" i="1" a="1"/>
  <c r="BK239" i="1"/>
  <c r="AP239" i="1"/>
  <c r="AZ239" i="1"/>
  <c r="BD239" i="1"/>
  <c r="BA239" i="1"/>
  <c r="BH239" i="1"/>
  <c r="BI239" i="1"/>
  <c r="BJ239" i="1"/>
  <c r="BL239" i="1"/>
  <c r="G240" i="1"/>
  <c r="AZ240" i="1"/>
  <c r="P240" i="1"/>
  <c r="AE240" i="1"/>
  <c r="AK240" i="1"/>
  <c r="AP240" i="1"/>
  <c r="AW240" i="1"/>
  <c r="BD240" i="1"/>
  <c r="BA240" i="1"/>
  <c r="BH240" i="1"/>
  <c r="BJ240" i="1"/>
  <c r="BI240" i="1"/>
  <c r="BL240" i="1"/>
  <c r="C4" i="26"/>
  <c r="B27" i="26"/>
  <c r="B32" i="26"/>
  <c r="O40" i="26"/>
  <c r="V42" i="26"/>
  <c r="V43" i="26"/>
  <c r="AF69" i="26"/>
  <c r="W44" i="26"/>
  <c r="U47" i="26"/>
  <c r="Y88" i="26"/>
  <c r="Z48" i="26"/>
  <c r="AA31" i="26"/>
  <c r="AF59" i="26"/>
  <c r="T58" i="26"/>
  <c r="AF58" i="26"/>
  <c r="Y69" i="26"/>
  <c r="AC75" i="26"/>
  <c r="Z69" i="26"/>
  <c r="R80" i="26"/>
  <c r="Y64" i="26"/>
  <c r="B81" i="26"/>
  <c r="AA81" i="26"/>
  <c r="AG69" i="26"/>
  <c r="Z82" i="26"/>
  <c r="AA82" i="26"/>
  <c r="AG70" i="26"/>
  <c r="Z83" i="26"/>
  <c r="AA83" i="26"/>
  <c r="AA84" i="26"/>
  <c r="C97" i="26"/>
  <c r="R97" i="26"/>
  <c r="X97" i="26"/>
  <c r="Y97" i="26"/>
  <c r="Y98" i="26"/>
  <c r="M99" i="26"/>
  <c r="O72" i="26"/>
  <c r="T99" i="26"/>
  <c r="AA99" i="26"/>
  <c r="V100" i="26"/>
  <c r="V101" i="26"/>
  <c r="AC100" i="26"/>
  <c r="AC101" i="26"/>
  <c r="Y48" i="26"/>
  <c r="W102" i="26"/>
  <c r="AD102" i="26"/>
  <c r="M104" i="26"/>
  <c r="M105" i="26"/>
  <c r="M106" i="26"/>
  <c r="M110" i="26"/>
  <c r="V104" i="26"/>
  <c r="W104" i="26"/>
  <c r="AD104" i="26"/>
  <c r="AD105" i="26"/>
  <c r="AD106" i="26"/>
  <c r="AD107" i="26"/>
  <c r="AC104" i="26"/>
  <c r="V105" i="26"/>
  <c r="V106" i="26"/>
  <c r="AC105" i="26"/>
  <c r="AC106" i="26"/>
  <c r="T107" i="26"/>
  <c r="AA107" i="26"/>
  <c r="V107" i="26"/>
  <c r="V108" i="26"/>
  <c r="W107" i="26"/>
  <c r="M108" i="26"/>
  <c r="M109" i="26"/>
  <c r="T108" i="26"/>
  <c r="AA108" i="26"/>
  <c r="V112" i="26"/>
  <c r="AC112" i="26"/>
  <c r="V113" i="26"/>
  <c r="T47" i="26"/>
  <c r="V58" i="26"/>
  <c r="W113" i="26"/>
  <c r="AC113" i="26"/>
  <c r="X88" i="26"/>
  <c r="AD113" i="26"/>
  <c r="M114" i="26"/>
  <c r="M115" i="26"/>
  <c r="M116" i="26"/>
  <c r="W119" i="26"/>
  <c r="C4" i="25"/>
  <c r="B27" i="25"/>
  <c r="B32" i="25"/>
  <c r="O40" i="25"/>
  <c r="V42" i="25"/>
  <c r="V43" i="25"/>
  <c r="AF69" i="25"/>
  <c r="V44" i="25"/>
  <c r="W44" i="25"/>
  <c r="AA84" i="25"/>
  <c r="U47" i="25"/>
  <c r="Y88" i="25"/>
  <c r="Z48" i="25"/>
  <c r="AA31" i="25"/>
  <c r="AF59" i="25"/>
  <c r="T58" i="25"/>
  <c r="AF58" i="25"/>
  <c r="Y69" i="25"/>
  <c r="R80" i="25"/>
  <c r="AC75" i="25"/>
  <c r="Z69" i="25"/>
  <c r="B81" i="25"/>
  <c r="AA81" i="25"/>
  <c r="AG69" i="25"/>
  <c r="Z82" i="25"/>
  <c r="AA82" i="25"/>
  <c r="AG70" i="25"/>
  <c r="Z83" i="25"/>
  <c r="AA83" i="25"/>
  <c r="C97" i="25"/>
  <c r="C105" i="25"/>
  <c r="R97" i="25"/>
  <c r="X97" i="25"/>
  <c r="Y97" i="25"/>
  <c r="Y98" i="25"/>
  <c r="M99" i="25"/>
  <c r="O72" i="25"/>
  <c r="T99" i="25"/>
  <c r="AA99" i="25"/>
  <c r="V100" i="25"/>
  <c r="V101" i="25"/>
  <c r="AC100" i="25"/>
  <c r="AC101" i="25"/>
  <c r="W102" i="25"/>
  <c r="AD102" i="25"/>
  <c r="M104" i="25"/>
  <c r="M105" i="25"/>
  <c r="M106" i="25"/>
  <c r="M110" i="25"/>
  <c r="V104" i="25"/>
  <c r="W104" i="25"/>
  <c r="W105" i="25"/>
  <c r="AC104" i="25"/>
  <c r="V105" i="25"/>
  <c r="V106" i="25"/>
  <c r="W106" i="25"/>
  <c r="AC105" i="25"/>
  <c r="AC106" i="25"/>
  <c r="T107" i="25"/>
  <c r="V107" i="25"/>
  <c r="W107" i="25"/>
  <c r="AA107" i="25"/>
  <c r="M108" i="25"/>
  <c r="T108" i="25"/>
  <c r="AA108" i="25"/>
  <c r="M109" i="25"/>
  <c r="V112" i="25"/>
  <c r="V113" i="25"/>
  <c r="T47" i="25"/>
  <c r="V58" i="25"/>
  <c r="AC112" i="25"/>
  <c r="AC113" i="25"/>
  <c r="X88" i="25"/>
  <c r="W113" i="25"/>
  <c r="AD113" i="25"/>
  <c r="M114" i="25"/>
  <c r="M115" i="25"/>
  <c r="M116" i="25"/>
  <c r="W119" i="25"/>
  <c r="C4" i="2"/>
  <c r="B27" i="2"/>
  <c r="B32" i="2"/>
  <c r="O40" i="2"/>
  <c r="V42" i="2"/>
  <c r="V43" i="2"/>
  <c r="V44" i="2"/>
  <c r="W44" i="2"/>
  <c r="U47" i="2"/>
  <c r="Y88" i="2"/>
  <c r="Z48" i="2"/>
  <c r="AG49" i="2"/>
  <c r="AF58" i="2"/>
  <c r="Y69" i="2"/>
  <c r="R80" i="2"/>
  <c r="Y64" i="2"/>
  <c r="B81" i="2"/>
  <c r="AA81" i="2"/>
  <c r="AG69" i="2"/>
  <c r="Z82" i="2"/>
  <c r="AA82" i="2"/>
  <c r="AG70" i="2"/>
  <c r="Z83" i="2"/>
  <c r="Z84" i="2"/>
  <c r="AF70" i="2"/>
  <c r="AA83" i="2"/>
  <c r="AA84" i="2"/>
  <c r="C97" i="2"/>
  <c r="B69" i="2"/>
  <c r="R97" i="2"/>
  <c r="X97" i="2"/>
  <c r="Y97" i="2"/>
  <c r="Y98" i="2"/>
  <c r="M99" i="2"/>
  <c r="T99" i="2"/>
  <c r="AA99" i="2"/>
  <c r="V100" i="2"/>
  <c r="AC100" i="2"/>
  <c r="AC101" i="2"/>
  <c r="AE59" i="2"/>
  <c r="V101" i="2"/>
  <c r="V97" i="2"/>
  <c r="W102" i="2"/>
  <c r="AD102" i="2"/>
  <c r="M104" i="2"/>
  <c r="M105" i="2"/>
  <c r="M106" i="2"/>
  <c r="M110" i="2"/>
  <c r="V104" i="2"/>
  <c r="W104" i="2"/>
  <c r="W105" i="2"/>
  <c r="W106" i="2"/>
  <c r="AC104" i="2"/>
  <c r="C105" i="2"/>
  <c r="V105" i="2"/>
  <c r="V106" i="2"/>
  <c r="AC105" i="2"/>
  <c r="AC106" i="2"/>
  <c r="T107" i="2"/>
  <c r="AA107" i="2"/>
  <c r="V107" i="2"/>
  <c r="AC107" i="2"/>
  <c r="AC108" i="2"/>
  <c r="W107" i="2"/>
  <c r="M108" i="2"/>
  <c r="T108" i="2"/>
  <c r="AA108" i="2"/>
  <c r="M109" i="2"/>
  <c r="V112" i="2"/>
  <c r="V113" i="2"/>
  <c r="T47" i="2"/>
  <c r="AC112" i="2"/>
  <c r="AC113" i="2"/>
  <c r="X88" i="2"/>
  <c r="W113" i="2"/>
  <c r="AD113" i="2"/>
  <c r="M114" i="2"/>
  <c r="M115" i="2"/>
  <c r="M116" i="2"/>
  <c r="W119" i="2"/>
  <c r="C4" i="5"/>
  <c r="B27" i="5"/>
  <c r="AA31" i="5"/>
  <c r="AF59" i="5"/>
  <c r="B32" i="5"/>
  <c r="O40" i="5"/>
  <c r="V43" i="5"/>
  <c r="V44" i="5"/>
  <c r="V42" i="5"/>
  <c r="W44" i="5"/>
  <c r="AA84" i="5"/>
  <c r="U47" i="5"/>
  <c r="Y88" i="5"/>
  <c r="Z48" i="5"/>
  <c r="AG49" i="5"/>
  <c r="AF58" i="5"/>
  <c r="AB65" i="5"/>
  <c r="Y69" i="5"/>
  <c r="AC75" i="5"/>
  <c r="Z69" i="5"/>
  <c r="R80" i="5"/>
  <c r="Y64" i="5"/>
  <c r="B81" i="5"/>
  <c r="AA81" i="5"/>
  <c r="AG69" i="5"/>
  <c r="Z82" i="5"/>
  <c r="AA82" i="5"/>
  <c r="AG70" i="5"/>
  <c r="Z83" i="5"/>
  <c r="AF69" i="5"/>
  <c r="AA83" i="5"/>
  <c r="C97" i="5"/>
  <c r="B69" i="5"/>
  <c r="R97" i="5"/>
  <c r="X97" i="5"/>
  <c r="Y97" i="5"/>
  <c r="Y98" i="5"/>
  <c r="M99" i="5"/>
  <c r="O72" i="5"/>
  <c r="T99" i="5"/>
  <c r="V99" i="5"/>
  <c r="AA99" i="5"/>
  <c r="AC99" i="5"/>
  <c r="AC100" i="5"/>
  <c r="AC101" i="5"/>
  <c r="V100" i="5"/>
  <c r="V101" i="5"/>
  <c r="W102" i="5"/>
  <c r="AD102" i="5"/>
  <c r="M104" i="5"/>
  <c r="M105" i="5"/>
  <c r="M106" i="5"/>
  <c r="V104" i="5"/>
  <c r="W104" i="5"/>
  <c r="AD104" i="5"/>
  <c r="AD105" i="5"/>
  <c r="AD106" i="5"/>
  <c r="AD107" i="5"/>
  <c r="AC104" i="5"/>
  <c r="V105" i="5"/>
  <c r="V106" i="5"/>
  <c r="W105" i="5"/>
  <c r="AC105" i="5"/>
  <c r="AC106" i="5"/>
  <c r="W106" i="5"/>
  <c r="T107" i="5"/>
  <c r="V107" i="5"/>
  <c r="W107" i="5"/>
  <c r="AA107" i="5"/>
  <c r="M108" i="5"/>
  <c r="M109" i="5"/>
  <c r="T108" i="5"/>
  <c r="AA108" i="5"/>
  <c r="V112" i="5"/>
  <c r="V113" i="5"/>
  <c r="T47" i="5"/>
  <c r="AC112" i="5"/>
  <c r="AC113" i="5"/>
  <c r="X88" i="5"/>
  <c r="W113" i="5"/>
  <c r="AD113" i="5"/>
  <c r="M114" i="5"/>
  <c r="M115" i="5"/>
  <c r="M116" i="5"/>
  <c r="W119" i="5"/>
  <c r="C4" i="6"/>
  <c r="B27" i="6"/>
  <c r="AA31" i="6"/>
  <c r="AF59" i="6"/>
  <c r="B32" i="6"/>
  <c r="O40" i="6"/>
  <c r="V43" i="6"/>
  <c r="V44" i="6"/>
  <c r="V42" i="6"/>
  <c r="W44" i="6"/>
  <c r="AA84" i="6"/>
  <c r="U47" i="6"/>
  <c r="Y88" i="6"/>
  <c r="Z48" i="6"/>
  <c r="AG49" i="6"/>
  <c r="AF58" i="6"/>
  <c r="B69" i="6"/>
  <c r="Y69" i="6"/>
  <c r="R80" i="6"/>
  <c r="AC75" i="6"/>
  <c r="Z69" i="6"/>
  <c r="Y64" i="6"/>
  <c r="B81" i="6"/>
  <c r="AA81" i="6"/>
  <c r="AG69" i="6"/>
  <c r="Z82" i="6"/>
  <c r="AA82" i="6"/>
  <c r="AG70" i="6"/>
  <c r="Z83" i="6"/>
  <c r="AA83" i="6"/>
  <c r="C97" i="6"/>
  <c r="X97" i="6"/>
  <c r="Y97" i="6"/>
  <c r="Y98" i="6"/>
  <c r="M99" i="6"/>
  <c r="O72" i="6"/>
  <c r="T99" i="6"/>
  <c r="V99" i="6"/>
  <c r="AA99" i="6"/>
  <c r="W102" i="6"/>
  <c r="AD102" i="6"/>
  <c r="M104" i="6"/>
  <c r="M105" i="6"/>
  <c r="M106" i="6"/>
  <c r="M110" i="6"/>
  <c r="V104" i="6"/>
  <c r="W104" i="6"/>
  <c r="AD104" i="6"/>
  <c r="AD105" i="6"/>
  <c r="AD106" i="6"/>
  <c r="AD107" i="6"/>
  <c r="AC104" i="6"/>
  <c r="V105" i="6"/>
  <c r="V106" i="6"/>
  <c r="W105" i="6"/>
  <c r="W106" i="6"/>
  <c r="AC105" i="6"/>
  <c r="AC106" i="6"/>
  <c r="T107" i="6"/>
  <c r="AA107" i="6"/>
  <c r="V107" i="6"/>
  <c r="W107" i="6"/>
  <c r="M108" i="6"/>
  <c r="T108" i="6"/>
  <c r="AA108" i="6"/>
  <c r="M109" i="6"/>
  <c r="V112" i="6"/>
  <c r="V113" i="6"/>
  <c r="T47" i="6"/>
  <c r="AC112" i="6"/>
  <c r="AC113" i="6"/>
  <c r="X88" i="6"/>
  <c r="W113" i="6"/>
  <c r="AD113" i="6"/>
  <c r="M114" i="6"/>
  <c r="M115" i="6"/>
  <c r="M116" i="6"/>
  <c r="W119" i="6"/>
  <c r="C4" i="7"/>
  <c r="B27" i="7"/>
  <c r="B32" i="7"/>
  <c r="O40" i="7"/>
  <c r="V43" i="7"/>
  <c r="V44" i="7"/>
  <c r="AF70" i="7"/>
  <c r="V42" i="7"/>
  <c r="W44" i="7"/>
  <c r="AA84" i="7"/>
  <c r="U47" i="7"/>
  <c r="Z48" i="7"/>
  <c r="AF58" i="7"/>
  <c r="Y69" i="7"/>
  <c r="AG69" i="7"/>
  <c r="R80" i="7"/>
  <c r="AC75" i="7"/>
  <c r="Z69" i="7"/>
  <c r="B81" i="7"/>
  <c r="AA81" i="7"/>
  <c r="Z82" i="7"/>
  <c r="AA82" i="7"/>
  <c r="AG70" i="7"/>
  <c r="Z83" i="7"/>
  <c r="AA83" i="7"/>
  <c r="Y88" i="7"/>
  <c r="C97" i="7"/>
  <c r="X97" i="7"/>
  <c r="Y97" i="7"/>
  <c r="Y98" i="7"/>
  <c r="M99" i="7"/>
  <c r="O72" i="7"/>
  <c r="T99" i="7"/>
  <c r="V99" i="7"/>
  <c r="AA99" i="7"/>
  <c r="W102" i="7"/>
  <c r="AD102" i="7"/>
  <c r="M104" i="7"/>
  <c r="M105" i="7"/>
  <c r="M106" i="7"/>
  <c r="M110" i="7"/>
  <c r="V104" i="7"/>
  <c r="V106" i="7"/>
  <c r="W104" i="7"/>
  <c r="AD104" i="7"/>
  <c r="AC104" i="7"/>
  <c r="C105" i="7"/>
  <c r="V105" i="7"/>
  <c r="AC105" i="7"/>
  <c r="AC106" i="7"/>
  <c r="AD105" i="7"/>
  <c r="AD106" i="7"/>
  <c r="AD107" i="7"/>
  <c r="T107" i="7"/>
  <c r="AA107" i="7"/>
  <c r="V107" i="7"/>
  <c r="AC107" i="7"/>
  <c r="W107" i="7"/>
  <c r="M108" i="7"/>
  <c r="T108" i="7"/>
  <c r="AA108" i="7"/>
  <c r="M109" i="7"/>
  <c r="V112" i="7"/>
  <c r="V113" i="7"/>
  <c r="T47" i="7"/>
  <c r="AC112" i="7"/>
  <c r="AC113" i="7"/>
  <c r="X88" i="7"/>
  <c r="W113" i="7"/>
  <c r="AD113" i="7"/>
  <c r="M114" i="7"/>
  <c r="M115" i="7"/>
  <c r="M116" i="7"/>
  <c r="W119" i="7"/>
  <c r="C4" i="8"/>
  <c r="B27" i="8"/>
  <c r="B32" i="8"/>
  <c r="O40" i="8"/>
  <c r="V42" i="8"/>
  <c r="W44" i="8"/>
  <c r="AA84" i="8"/>
  <c r="U47" i="8"/>
  <c r="Y88" i="8"/>
  <c r="Z48" i="8"/>
  <c r="AG49" i="8"/>
  <c r="AF58" i="8"/>
  <c r="Y69" i="8"/>
  <c r="R80" i="8"/>
  <c r="AB65" i="8"/>
  <c r="B81" i="8"/>
  <c r="AA81" i="8"/>
  <c r="AG69" i="8"/>
  <c r="Z82" i="8"/>
  <c r="AA82" i="8"/>
  <c r="AG70" i="8"/>
  <c r="Z83" i="8"/>
  <c r="AA83" i="8"/>
  <c r="Z84" i="8"/>
  <c r="C97" i="8"/>
  <c r="X97" i="8"/>
  <c r="Y97" i="8"/>
  <c r="Y98" i="8"/>
  <c r="M99" i="8"/>
  <c r="O72" i="8"/>
  <c r="T99" i="8"/>
  <c r="V99" i="8"/>
  <c r="AA99" i="8"/>
  <c r="AC99" i="8"/>
  <c r="AC100" i="8"/>
  <c r="AC101" i="8"/>
  <c r="V100" i="8"/>
  <c r="V101" i="8"/>
  <c r="W102" i="8"/>
  <c r="AD102" i="8"/>
  <c r="M104" i="8"/>
  <c r="M105" i="8"/>
  <c r="M106" i="8"/>
  <c r="M110" i="8"/>
  <c r="O64" i="8"/>
  <c r="V104" i="8"/>
  <c r="W104" i="8"/>
  <c r="W105" i="8"/>
  <c r="W106" i="8"/>
  <c r="AC104" i="8"/>
  <c r="V105" i="8"/>
  <c r="V106" i="8"/>
  <c r="AC105" i="8"/>
  <c r="AC106" i="8"/>
  <c r="T107" i="8"/>
  <c r="AA107" i="8"/>
  <c r="V107" i="8"/>
  <c r="W107" i="8"/>
  <c r="M108" i="8"/>
  <c r="M109" i="8"/>
  <c r="T108" i="8"/>
  <c r="AA108" i="8"/>
  <c r="V112" i="8"/>
  <c r="V113" i="8"/>
  <c r="T47" i="8"/>
  <c r="AC112" i="8"/>
  <c r="W113" i="8"/>
  <c r="AC113" i="8"/>
  <c r="X88" i="8"/>
  <c r="AD113" i="8"/>
  <c r="M114" i="8"/>
  <c r="M115" i="8"/>
  <c r="M116" i="8"/>
  <c r="W119" i="8"/>
  <c r="C4" i="9"/>
  <c r="B27" i="9"/>
  <c r="B32" i="9"/>
  <c r="O40" i="9"/>
  <c r="V43" i="9"/>
  <c r="V44" i="9"/>
  <c r="V42" i="9"/>
  <c r="W44" i="9"/>
  <c r="AA84" i="9"/>
  <c r="U47" i="9"/>
  <c r="Y88" i="9"/>
  <c r="Z48" i="9"/>
  <c r="AA31" i="9"/>
  <c r="AF59" i="9"/>
  <c r="AF58" i="9"/>
  <c r="Y64" i="9"/>
  <c r="Y69" i="9"/>
  <c r="R80" i="9"/>
  <c r="AB65" i="9"/>
  <c r="B81" i="9"/>
  <c r="AA81" i="9"/>
  <c r="AG69" i="9"/>
  <c r="Z82" i="9"/>
  <c r="AA82" i="9"/>
  <c r="AG70" i="9"/>
  <c r="Z83" i="9"/>
  <c r="Z84" i="9"/>
  <c r="AF70" i="9"/>
  <c r="AA83" i="9"/>
  <c r="C97" i="9"/>
  <c r="B69" i="9"/>
  <c r="R97" i="9"/>
  <c r="X97" i="9"/>
  <c r="Y97" i="9"/>
  <c r="Y98" i="9"/>
  <c r="M99" i="9"/>
  <c r="O72" i="9"/>
  <c r="T99" i="9"/>
  <c r="V99" i="9"/>
  <c r="V100" i="9"/>
  <c r="V101" i="9"/>
  <c r="Y48" i="9"/>
  <c r="AA99" i="9"/>
  <c r="AC99" i="9"/>
  <c r="AC100" i="9"/>
  <c r="AC101" i="9"/>
  <c r="W102" i="9"/>
  <c r="AD102" i="9"/>
  <c r="M104" i="9"/>
  <c r="M105" i="9"/>
  <c r="M106" i="9"/>
  <c r="V104" i="9"/>
  <c r="W104" i="9"/>
  <c r="AC104" i="9"/>
  <c r="AD104" i="9"/>
  <c r="AD105" i="9"/>
  <c r="AD106" i="9"/>
  <c r="AD107" i="9"/>
  <c r="C105" i="9"/>
  <c r="V105" i="9"/>
  <c r="V106" i="9"/>
  <c r="W105" i="9"/>
  <c r="W106" i="9"/>
  <c r="AC105" i="9"/>
  <c r="AC106" i="9"/>
  <c r="T107" i="9"/>
  <c r="AA107" i="9"/>
  <c r="V107" i="9"/>
  <c r="AC107" i="9"/>
  <c r="AC108" i="9"/>
  <c r="W107" i="9"/>
  <c r="M108" i="9"/>
  <c r="M109" i="9"/>
  <c r="T108" i="9"/>
  <c r="AA108" i="9"/>
  <c r="V112" i="9"/>
  <c r="V113" i="9"/>
  <c r="T47" i="9"/>
  <c r="AC112" i="9"/>
  <c r="AC113" i="9"/>
  <c r="X88" i="9"/>
  <c r="W113" i="9"/>
  <c r="AD113" i="9"/>
  <c r="M114" i="9"/>
  <c r="M115" i="9"/>
  <c r="M116" i="9"/>
  <c r="W119" i="9"/>
  <c r="C4" i="10"/>
  <c r="B27" i="10"/>
  <c r="B32" i="10"/>
  <c r="O40" i="10"/>
  <c r="V43" i="10"/>
  <c r="V44" i="10"/>
  <c r="V42" i="10"/>
  <c r="W44" i="10"/>
  <c r="U47" i="10"/>
  <c r="Z48" i="10"/>
  <c r="AG49" i="10"/>
  <c r="AF58" i="10"/>
  <c r="Y69" i="10"/>
  <c r="AG70" i="10"/>
  <c r="R80" i="10"/>
  <c r="AB65" i="10"/>
  <c r="B81" i="10"/>
  <c r="AA81" i="10"/>
  <c r="AG69" i="10"/>
  <c r="Z82" i="10"/>
  <c r="AA82" i="10"/>
  <c r="Z83" i="10"/>
  <c r="AF69" i="10"/>
  <c r="AA83" i="10"/>
  <c r="AA84" i="10"/>
  <c r="Y88" i="10"/>
  <c r="C97" i="10"/>
  <c r="B69" i="10"/>
  <c r="X97" i="10"/>
  <c r="Y97" i="10"/>
  <c r="Y98" i="10"/>
  <c r="M99" i="10"/>
  <c r="O72" i="10"/>
  <c r="T99" i="10"/>
  <c r="V99" i="10"/>
  <c r="AA99" i="10"/>
  <c r="W102" i="10"/>
  <c r="AD102" i="10"/>
  <c r="M104" i="10"/>
  <c r="M105" i="10"/>
  <c r="M106" i="10"/>
  <c r="M110" i="10"/>
  <c r="V104" i="10"/>
  <c r="W104" i="10"/>
  <c r="AC104" i="10"/>
  <c r="AD104" i="10"/>
  <c r="AD105" i="10"/>
  <c r="AD106" i="10"/>
  <c r="AD107" i="10"/>
  <c r="C105" i="10"/>
  <c r="V105" i="10"/>
  <c r="V106" i="10"/>
  <c r="W105" i="10"/>
  <c r="AC105" i="10"/>
  <c r="AC106" i="10"/>
  <c r="AC108" i="10"/>
  <c r="AC102" i="10"/>
  <c r="W106" i="10"/>
  <c r="T107" i="10"/>
  <c r="AA107" i="10"/>
  <c r="V107" i="10"/>
  <c r="W107" i="10"/>
  <c r="AC107" i="10"/>
  <c r="M108" i="10"/>
  <c r="M109" i="10"/>
  <c r="T108" i="10"/>
  <c r="AA108" i="10"/>
  <c r="V112" i="10"/>
  <c r="V113" i="10"/>
  <c r="T47" i="10"/>
  <c r="AC112" i="10"/>
  <c r="AC113" i="10"/>
  <c r="X88" i="10"/>
  <c r="W113" i="10"/>
  <c r="AD113" i="10"/>
  <c r="M114" i="10"/>
  <c r="M115" i="10"/>
  <c r="M116" i="10"/>
  <c r="W119" i="10"/>
  <c r="C4" i="11"/>
  <c r="B27" i="11"/>
  <c r="AA31" i="11"/>
  <c r="AF59" i="11"/>
  <c r="B32" i="11"/>
  <c r="O40" i="11"/>
  <c r="V42" i="11"/>
  <c r="W44" i="11"/>
  <c r="U47" i="11"/>
  <c r="Z48" i="11"/>
  <c r="AG49" i="11"/>
  <c r="AF58" i="11"/>
  <c r="Y69" i="11"/>
  <c r="AG69" i="11"/>
  <c r="R80" i="11"/>
  <c r="AC75" i="11"/>
  <c r="Z69" i="11"/>
  <c r="B81" i="11"/>
  <c r="AA81" i="11"/>
  <c r="Z82" i="11"/>
  <c r="AA82" i="11"/>
  <c r="AG70" i="11"/>
  <c r="Z83" i="11"/>
  <c r="AA83" i="11"/>
  <c r="AA84" i="11"/>
  <c r="Y88" i="11"/>
  <c r="C97" i="11"/>
  <c r="C105" i="11"/>
  <c r="X97" i="11"/>
  <c r="Y97" i="11"/>
  <c r="Y98" i="11"/>
  <c r="M99" i="11"/>
  <c r="T99" i="11"/>
  <c r="V99" i="11"/>
  <c r="V100" i="11"/>
  <c r="V101" i="11"/>
  <c r="AA99" i="11"/>
  <c r="AC99" i="11"/>
  <c r="AC100" i="11"/>
  <c r="AC101" i="11"/>
  <c r="W102" i="11"/>
  <c r="AD102" i="11"/>
  <c r="M104" i="11"/>
  <c r="V104" i="11"/>
  <c r="W104" i="11"/>
  <c r="W105" i="11"/>
  <c r="W106" i="11"/>
  <c r="AC104" i="11"/>
  <c r="M105" i="11"/>
  <c r="M106" i="11"/>
  <c r="V105" i="11"/>
  <c r="V106" i="11"/>
  <c r="V108" i="11"/>
  <c r="Z31" i="11"/>
  <c r="AC105" i="11"/>
  <c r="AC106" i="11"/>
  <c r="T107" i="11"/>
  <c r="AA107" i="11"/>
  <c r="V107" i="11"/>
  <c r="AC107" i="11"/>
  <c r="AC108" i="11"/>
  <c r="W107" i="11"/>
  <c r="M108" i="11"/>
  <c r="M109" i="11"/>
  <c r="T108" i="11"/>
  <c r="AA108" i="11"/>
  <c r="V112" i="11"/>
  <c r="V113" i="11"/>
  <c r="T47" i="11"/>
  <c r="AC112" i="11"/>
  <c r="AC113" i="11"/>
  <c r="X88" i="11"/>
  <c r="W113" i="11"/>
  <c r="AD113" i="11"/>
  <c r="M114" i="11"/>
  <c r="M115" i="11"/>
  <c r="M116" i="11"/>
  <c r="W119" i="11"/>
  <c r="C4" i="12"/>
  <c r="B27" i="12"/>
  <c r="AA31" i="12"/>
  <c r="AF59" i="12"/>
  <c r="B32" i="12"/>
  <c r="O40" i="12"/>
  <c r="R97" i="12"/>
  <c r="V42" i="12"/>
  <c r="W44" i="12"/>
  <c r="U47" i="12"/>
  <c r="Z48" i="12"/>
  <c r="AG49" i="12"/>
  <c r="T56" i="12"/>
  <c r="T58" i="12"/>
  <c r="V58" i="12"/>
  <c r="AF58" i="12"/>
  <c r="Y69" i="12"/>
  <c r="AC75" i="12"/>
  <c r="Z69" i="12"/>
  <c r="R80" i="12"/>
  <c r="Y64" i="12"/>
  <c r="B81" i="12"/>
  <c r="AA81" i="12"/>
  <c r="AG69" i="12"/>
  <c r="Z82" i="12"/>
  <c r="AA82" i="12"/>
  <c r="AG70" i="12"/>
  <c r="Z83" i="12"/>
  <c r="Z84" i="12"/>
  <c r="AA83" i="12"/>
  <c r="AA84" i="12"/>
  <c r="Y88" i="12"/>
  <c r="C97" i="12"/>
  <c r="X97" i="12"/>
  <c r="Y97" i="12"/>
  <c r="Y98" i="12"/>
  <c r="M99" i="12"/>
  <c r="O72" i="12"/>
  <c r="T99" i="12"/>
  <c r="AA99" i="12"/>
  <c r="AC99" i="12"/>
  <c r="AC100" i="12"/>
  <c r="AC101" i="12"/>
  <c r="V100" i="12"/>
  <c r="V101" i="12"/>
  <c r="V97" i="12"/>
  <c r="W102" i="12"/>
  <c r="AD102" i="12"/>
  <c r="M104" i="12"/>
  <c r="M105" i="12"/>
  <c r="M106" i="12"/>
  <c r="V104" i="12"/>
  <c r="V106" i="12"/>
  <c r="W104" i="12"/>
  <c r="W105" i="12"/>
  <c r="W106" i="12"/>
  <c r="AC104" i="12"/>
  <c r="C105" i="12"/>
  <c r="V105" i="12"/>
  <c r="AC105" i="12"/>
  <c r="AC106" i="12"/>
  <c r="T107" i="12"/>
  <c r="AA107" i="12"/>
  <c r="V107" i="12"/>
  <c r="W107" i="12"/>
  <c r="M108" i="12"/>
  <c r="M109" i="12"/>
  <c r="T108" i="12"/>
  <c r="AA108" i="12"/>
  <c r="V112" i="12"/>
  <c r="V113" i="12"/>
  <c r="T47" i="12"/>
  <c r="AC112" i="12"/>
  <c r="AC113" i="12"/>
  <c r="X88" i="12"/>
  <c r="W113" i="12"/>
  <c r="AD113" i="12"/>
  <c r="M114" i="12"/>
  <c r="M115" i="12"/>
  <c r="M116" i="12"/>
  <c r="W119" i="12"/>
  <c r="V97" i="9"/>
  <c r="M110" i="12"/>
  <c r="O64" i="12"/>
  <c r="V108" i="10"/>
  <c r="AD104" i="12"/>
  <c r="AD105" i="12"/>
  <c r="AD106" i="12"/>
  <c r="AD107" i="12"/>
  <c r="Z84" i="7"/>
  <c r="O72" i="11"/>
  <c r="Z84" i="11"/>
  <c r="AD104" i="11"/>
  <c r="AD105" i="11"/>
  <c r="AD106" i="11"/>
  <c r="AD107" i="11"/>
  <c r="V43" i="11"/>
  <c r="V44" i="11"/>
  <c r="AF70" i="11"/>
  <c r="B69" i="12"/>
  <c r="AC97" i="11"/>
  <c r="V108" i="6"/>
  <c r="AC107" i="6"/>
  <c r="AC108" i="6"/>
  <c r="AC74" i="6"/>
  <c r="Y48" i="2"/>
  <c r="R97" i="11"/>
  <c r="AB65" i="11"/>
  <c r="B69" i="8"/>
  <c r="Y64" i="11"/>
  <c r="AA31" i="7"/>
  <c r="AF59" i="7"/>
  <c r="AG49" i="7"/>
  <c r="AC75" i="2"/>
  <c r="Z69" i="2"/>
  <c r="AB65" i="2"/>
  <c r="R97" i="8"/>
  <c r="V43" i="8"/>
  <c r="B69" i="7"/>
  <c r="C105" i="5"/>
  <c r="C105" i="8"/>
  <c r="C105" i="6"/>
  <c r="R97" i="6"/>
  <c r="AB65" i="6"/>
  <c r="AF69" i="2"/>
  <c r="AD104" i="2"/>
  <c r="AD105" i="2"/>
  <c r="AD106" i="2"/>
  <c r="AD107" i="2"/>
  <c r="B69" i="26"/>
  <c r="C105" i="26"/>
  <c r="AC97" i="25"/>
  <c r="AE59" i="25"/>
  <c r="V119" i="25"/>
  <c r="AF49" i="25"/>
  <c r="Y48" i="25"/>
  <c r="V97" i="25"/>
  <c r="AC107" i="26"/>
  <c r="AC108" i="26"/>
  <c r="AC74" i="26"/>
  <c r="BA237" i="1"/>
  <c r="W105" i="26"/>
  <c r="W106" i="26"/>
  <c r="Z84" i="25"/>
  <c r="AF70" i="25"/>
  <c r="Z84" i="26"/>
  <c r="BJ225" i="1"/>
  <c r="BA233" i="1"/>
  <c r="BA226" i="1"/>
  <c r="AG49" i="25"/>
  <c r="AG49" i="26"/>
  <c r="BA225" i="1"/>
  <c r="B69" i="25"/>
  <c r="AB65" i="25"/>
  <c r="V97" i="26"/>
  <c r="Y64" i="25"/>
  <c r="AB65" i="26"/>
  <c r="BK193" i="1"/>
  <c r="AV137" i="1"/>
  <c r="AX137" i="1"/>
  <c r="AZ216" i="1"/>
  <c r="AZ210" i="1"/>
  <c r="AZ207" i="1"/>
  <c r="AZ198" i="1"/>
  <c r="AW237" i="1"/>
  <c r="AW225" i="1"/>
  <c r="AV177" i="1"/>
  <c r="AZ221" i="1"/>
  <c r="AZ217" i="1"/>
  <c r="AW216" i="1"/>
  <c r="AW210" i="1"/>
  <c r="AW207" i="1"/>
  <c r="AW198" i="1"/>
  <c r="BJ134" i="1"/>
  <c r="AZ214" i="1"/>
  <c r="AZ211" i="1"/>
  <c r="AZ205" i="1"/>
  <c r="AZ202" i="1"/>
  <c r="AZ199" i="1"/>
  <c r="AZ196" i="1"/>
  <c r="BA105" i="1"/>
  <c r="AW221" i="1"/>
  <c r="AW217" i="1"/>
  <c r="AZ137" i="1"/>
  <c r="BA129" i="1"/>
  <c r="AV123" i="1"/>
  <c r="AX123" i="1"/>
  <c r="AZ51" i="1"/>
  <c r="AV51" i="1"/>
  <c r="AV110" i="1"/>
  <c r="BK110" i="1"/>
  <c r="BM110" i="1"/>
  <c r="AV60" i="1"/>
  <c r="AX60" i="1"/>
  <c r="AW60" i="1"/>
  <c r="AZ60" i="1"/>
  <c r="AV6" i="1"/>
  <c r="AW6" i="1"/>
  <c r="AW177" i="1"/>
  <c r="AW165" i="1"/>
  <c r="AW159" i="1"/>
  <c r="AZ119" i="1"/>
  <c r="AV119" i="1"/>
  <c r="AX119" i="1"/>
  <c r="AW119" i="1"/>
  <c r="BK119" i="1"/>
  <c r="AV104" i="1"/>
  <c r="AX104" i="1"/>
  <c r="M54" i="1"/>
  <c r="AC97" i="29"/>
  <c r="AE59" i="29"/>
  <c r="V119" i="29"/>
  <c r="AF49" i="29"/>
  <c r="AF70" i="29"/>
  <c r="AZ175" i="1"/>
  <c r="AV165" i="1"/>
  <c r="AV159" i="1"/>
  <c r="AX159" i="1"/>
  <c r="AW137" i="1"/>
  <c r="BA131" i="1"/>
  <c r="AP46" i="1"/>
  <c r="AZ46" i="1"/>
  <c r="AW35" i="1"/>
  <c r="AV8" i="1"/>
  <c r="AW8" i="1"/>
  <c r="Y48" i="29"/>
  <c r="T48" i="29"/>
  <c r="T49" i="29"/>
  <c r="T56" i="29"/>
  <c r="V97" i="29"/>
  <c r="BA49" i="1"/>
  <c r="AW37" i="1"/>
  <c r="M117" i="29"/>
  <c r="O99" i="29"/>
  <c r="AW122" i="1"/>
  <c r="BA99" i="1"/>
  <c r="Z31" i="29"/>
  <c r="V102" i="29"/>
  <c r="AZ161" i="1"/>
  <c r="AZ158" i="1"/>
  <c r="AW125" i="1"/>
  <c r="AV117" i="1"/>
  <c r="AV102" i="1"/>
  <c r="AX102" i="1"/>
  <c r="BK102" i="1"/>
  <c r="BM102" i="1"/>
  <c r="AV12" i="1"/>
  <c r="AW12" i="1"/>
  <c r="BA123" i="1"/>
  <c r="AZ113" i="1"/>
  <c r="AV113" i="1"/>
  <c r="AW113" i="1"/>
  <c r="BK113" i="1"/>
  <c r="BM113" i="1"/>
  <c r="BH57" i="1"/>
  <c r="BJ57" i="1"/>
  <c r="AV128" i="1"/>
  <c r="AW128" i="1"/>
  <c r="BK128" i="1"/>
  <c r="AV14" i="1"/>
  <c r="AW14" i="1"/>
  <c r="AW161" i="1"/>
  <c r="AW158" i="1"/>
  <c r="AP60" i="1"/>
  <c r="BK136" i="1"/>
  <c r="BM136" i="1"/>
  <c r="AW123" i="1"/>
  <c r="BA97" i="1"/>
  <c r="AV16" i="1"/>
  <c r="O64" i="29"/>
  <c r="AW110" i="1"/>
  <c r="AX110" i="1"/>
  <c r="BA58" i="1"/>
  <c r="W105" i="29"/>
  <c r="W106" i="29"/>
  <c r="BH53" i="1"/>
  <c r="BE52" i="1"/>
  <c r="BC52" i="1"/>
  <c r="AY52" i="1"/>
  <c r="V43" i="29"/>
  <c r="V44" i="29"/>
  <c r="AZ112" i="1"/>
  <c r="AZ109" i="1"/>
  <c r="BE85" i="1"/>
  <c r="BC85" i="1"/>
  <c r="AY85" i="1"/>
  <c r="BE79" i="1"/>
  <c r="BC79" i="1"/>
  <c r="AY79" i="1"/>
  <c r="BE75" i="1"/>
  <c r="BB75" i="1"/>
  <c r="BE69" i="1"/>
  <c r="BE63" i="1"/>
  <c r="BB63" i="1"/>
  <c r="BE55" i="1"/>
  <c r="BB55" i="1"/>
  <c r="BE50" i="1"/>
  <c r="AG49" i="29"/>
  <c r="BM99" i="1"/>
  <c r="BI57" i="1"/>
  <c r="AC74" i="10"/>
  <c r="BB85" i="1"/>
  <c r="AF69" i="11"/>
  <c r="AC102" i="26"/>
  <c r="AC102" i="6"/>
  <c r="AX113" i="1"/>
  <c r="O100" i="29"/>
  <c r="D101" i="29"/>
  <c r="C106" i="29"/>
  <c r="E98" i="29"/>
  <c r="O117" i="29"/>
  <c r="V44" i="8"/>
  <c r="AF70" i="8"/>
  <c r="AF69" i="8"/>
  <c r="Z31" i="6"/>
  <c r="V102" i="6"/>
  <c r="V102" i="11"/>
  <c r="T48" i="11"/>
  <c r="T49" i="11"/>
  <c r="Z31" i="10"/>
  <c r="V102" i="10"/>
  <c r="M117" i="2"/>
  <c r="O100" i="2"/>
  <c r="D101" i="2"/>
  <c r="K26" i="2"/>
  <c r="O116" i="2"/>
  <c r="K26" i="29"/>
  <c r="C108" i="29"/>
  <c r="E97" i="29"/>
  <c r="E100" i="29"/>
  <c r="E99" i="29"/>
  <c r="C108" i="2"/>
  <c r="C106" i="2"/>
  <c r="E100" i="2"/>
  <c r="E99" i="2"/>
  <c r="AV47" i="1"/>
  <c r="AW7" i="1"/>
  <c r="AV141" i="1"/>
  <c r="AW61" i="1"/>
  <c r="AW171" i="1"/>
  <c r="BK213" i="1"/>
  <c r="AV168" i="1"/>
  <c r="AV149" i="1"/>
  <c r="BJ147" i="1"/>
  <c r="AV72" i="1"/>
  <c r="AX72" i="1"/>
  <c r="AV69" i="1"/>
  <c r="AX69" i="1"/>
  <c r="AV30" i="1"/>
  <c r="BI56" i="1"/>
  <c r="AV39" i="1"/>
  <c r="BK125" i="1"/>
  <c r="BM125" i="1"/>
  <c r="BJ233" i="1"/>
  <c r="AW228" i="1"/>
  <c r="BM167" i="1"/>
  <c r="CJ132" i="1"/>
  <c r="CK132" i="1"/>
  <c r="AV121" i="1"/>
  <c r="BJ74" i="1"/>
  <c r="BI58" i="1"/>
  <c r="AV43" i="1"/>
  <c r="BK237" i="1" a="1"/>
  <c r="BK237" i="1"/>
  <c r="AZ209" i="1"/>
  <c r="BJ106" i="1"/>
  <c r="AX86" i="1"/>
  <c r="BK82" i="1"/>
  <c r="AV73" i="1"/>
  <c r="AX73" i="1"/>
  <c r="BJ67" i="1"/>
  <c r="BI48" i="1"/>
  <c r="BJ48" i="1"/>
  <c r="AW107" i="1"/>
  <c r="AV38" i="1"/>
  <c r="BK107" i="1"/>
  <c r="BM107" i="1"/>
  <c r="BK129" i="1"/>
  <c r="BM129" i="1"/>
  <c r="G55" i="1"/>
  <c r="BJ214" i="1"/>
  <c r="BJ159" i="1"/>
  <c r="AV154" i="1"/>
  <c r="AX154" i="1"/>
  <c r="AX139" i="1"/>
  <c r="AV138" i="1"/>
  <c r="AX138" i="1"/>
  <c r="BJ97" i="1"/>
  <c r="AV70" i="1"/>
  <c r="AX70" i="1"/>
  <c r="AV42" i="1"/>
  <c r="AW116" i="1"/>
  <c r="AZ223" i="1"/>
  <c r="BJ198" i="1"/>
  <c r="AW135" i="1"/>
  <c r="AX135" i="1"/>
  <c r="AZ115" i="1"/>
  <c r="AZ56" i="1"/>
  <c r="AV171" i="1"/>
  <c r="AV156" i="1"/>
  <c r="AX156" i="1"/>
  <c r="AZ156" i="1"/>
  <c r="AV234" i="1"/>
  <c r="BK97" i="1"/>
  <c r="BM97" i="1"/>
  <c r="AX128" i="1"/>
  <c r="AV129" i="1"/>
  <c r="AW129" i="1"/>
  <c r="BK223" i="1" a="1"/>
  <c r="BK223" i="1"/>
  <c r="BM223" i="1"/>
  <c r="AW220" i="1"/>
  <c r="AW145" i="1"/>
  <c r="CJ138" i="1"/>
  <c r="CK138" i="1"/>
  <c r="BJ137" i="1"/>
  <c r="BJ86" i="1"/>
  <c r="BJ220" i="1"/>
  <c r="BA173" i="1"/>
  <c r="AW141" i="1"/>
  <c r="BK96" i="1"/>
  <c r="BM96" i="1"/>
  <c r="AV214" i="1"/>
  <c r="AX214" i="1"/>
  <c r="AZ108" i="1"/>
  <c r="BJ73" i="1"/>
  <c r="BJ65" i="1"/>
  <c r="BJ62" i="1"/>
  <c r="AV31" i="1"/>
  <c r="BJ143" i="1"/>
  <c r="BK64" i="1"/>
  <c r="BJ218" i="1"/>
  <c r="BJ209" i="1"/>
  <c r="BJ201" i="1"/>
  <c r="AZ184" i="1"/>
  <c r="BJ181" i="1"/>
  <c r="BJ174" i="1"/>
  <c r="BK156" i="1"/>
  <c r="BM156" i="1"/>
  <c r="BJ122" i="1"/>
  <c r="BJ118" i="1"/>
  <c r="AW108" i="1"/>
  <c r="BJ104" i="1"/>
  <c r="AV61" i="1"/>
  <c r="AX61" i="1"/>
  <c r="AV49" i="1"/>
  <c r="BH48" i="1"/>
  <c r="AZ181" i="1"/>
  <c r="AW233" i="1"/>
  <c r="BK232" i="1" a="1"/>
  <c r="BK232" i="1"/>
  <c r="BM232" i="1"/>
  <c r="BK226" i="1" a="1"/>
  <c r="BK226" i="1"/>
  <c r="BM226" i="1"/>
  <c r="AV213" i="1"/>
  <c r="BK194" i="1"/>
  <c r="BM194" i="1"/>
  <c r="AW193" i="1"/>
  <c r="AW192" i="1"/>
  <c r="AZ183" i="1"/>
  <c r="AV181" i="1"/>
  <c r="BJ173" i="1"/>
  <c r="BJ172" i="1"/>
  <c r="BK169" i="1"/>
  <c r="BM169" i="1"/>
  <c r="AV157" i="1"/>
  <c r="AX157" i="1"/>
  <c r="BJ154" i="1"/>
  <c r="AV134" i="1"/>
  <c r="AV131" i="1"/>
  <c r="AX131" i="1"/>
  <c r="BJ116" i="1"/>
  <c r="BJ91" i="1"/>
  <c r="BK87" i="1"/>
  <c r="AV81" i="1"/>
  <c r="AX81" i="1"/>
  <c r="BJ79" i="1"/>
  <c r="AW38" i="1"/>
  <c r="AV36" i="1"/>
  <c r="AV33" i="1"/>
  <c r="AV22" i="1"/>
  <c r="AW132" i="1"/>
  <c r="AW195" i="1"/>
  <c r="BK234" i="1" a="1"/>
  <c r="BK234" i="1"/>
  <c r="BM234" i="1"/>
  <c r="BK224" i="1" a="1"/>
  <c r="BK224" i="1"/>
  <c r="BM224" i="1"/>
  <c r="BJ186" i="1"/>
  <c r="BM181" i="1"/>
  <c r="BJ165" i="1"/>
  <c r="BM120" i="1"/>
  <c r="AX95" i="1"/>
  <c r="BJ92" i="1"/>
  <c r="AV82" i="1"/>
  <c r="AX82" i="1"/>
  <c r="BJ76" i="1"/>
  <c r="AV74" i="1"/>
  <c r="AX74" i="1"/>
  <c r="BA63" i="1"/>
  <c r="AW40" i="1"/>
  <c r="AV35" i="1"/>
  <c r="AV29" i="1"/>
  <c r="BC55" i="1"/>
  <c r="AY55" i="1"/>
  <c r="BK49" i="1"/>
  <c r="BK132" i="1"/>
  <c r="BM132" i="1"/>
  <c r="AZ213" i="1"/>
  <c r="BM227" i="1"/>
  <c r="AV225" i="1"/>
  <c r="AX225" i="1"/>
  <c r="BK198" i="1"/>
  <c r="BK190" i="1"/>
  <c r="BM190" i="1"/>
  <c r="BJ188" i="1"/>
  <c r="BA178" i="1"/>
  <c r="BM131" i="1"/>
  <c r="BK122" i="1"/>
  <c r="BM122" i="1"/>
  <c r="AV239" i="1"/>
  <c r="AX239" i="1"/>
  <c r="BJ232" i="1"/>
  <c r="BM193" i="1"/>
  <c r="AZ178" i="1"/>
  <c r="BJ156" i="1"/>
  <c r="AW154" i="1"/>
  <c r="BK149" i="1"/>
  <c r="BJ148" i="1"/>
  <c r="BK143" i="1"/>
  <c r="AW138" i="1"/>
  <c r="BM135" i="1"/>
  <c r="BJ133" i="1"/>
  <c r="BJ131" i="1"/>
  <c r="AW124" i="1"/>
  <c r="AZ117" i="1"/>
  <c r="BJ100" i="1"/>
  <c r="BJ80" i="1"/>
  <c r="AV78" i="1"/>
  <c r="AX78" i="1"/>
  <c r="AV68" i="1"/>
  <c r="AX68" i="1"/>
  <c r="BJ60" i="1"/>
  <c r="AZ48" i="1"/>
  <c r="AV32" i="1"/>
  <c r="AV28" i="1"/>
  <c r="AV24" i="1"/>
  <c r="AW15" i="1"/>
  <c r="AV7" i="1"/>
  <c r="AV120" i="1"/>
  <c r="AZ134" i="1"/>
  <c r="AV114" i="1"/>
  <c r="AX114" i="1"/>
  <c r="BK150" i="1"/>
  <c r="BM150" i="1"/>
  <c r="BK207" i="1"/>
  <c r="BM207" i="1"/>
  <c r="AV205" i="1"/>
  <c r="AX205" i="1"/>
  <c r="AV199" i="1"/>
  <c r="AZ185" i="1"/>
  <c r="BK171" i="1"/>
  <c r="BM171" i="1"/>
  <c r="BK159" i="1"/>
  <c r="AZ155" i="1"/>
  <c r="BJ150" i="1"/>
  <c r="BK147" i="1"/>
  <c r="BM147" i="1"/>
  <c r="AW117" i="1"/>
  <c r="AV97" i="1"/>
  <c r="AX97" i="1"/>
  <c r="AV90" i="1"/>
  <c r="AX90" i="1"/>
  <c r="AV89" i="1"/>
  <c r="AX89" i="1"/>
  <c r="BJ87" i="1"/>
  <c r="BK77" i="1"/>
  <c r="AV63" i="1"/>
  <c r="AX63" i="1"/>
  <c r="BH58" i="1"/>
  <c r="BH51" i="1"/>
  <c r="AV40" i="1"/>
  <c r="AV233" i="1"/>
  <c r="AZ230" i="1"/>
  <c r="BK165" i="1"/>
  <c r="BM165" i="1"/>
  <c r="BK141" i="1"/>
  <c r="BM141" i="1"/>
  <c r="BK124" i="1"/>
  <c r="BM124" i="1"/>
  <c r="AV84" i="1"/>
  <c r="AX84" i="1"/>
  <c r="AW134" i="1"/>
  <c r="AX165" i="1"/>
  <c r="AW126" i="1"/>
  <c r="AW213" i="1"/>
  <c r="AZ235" i="1"/>
  <c r="AZ234" i="1"/>
  <c r="BJ226" i="1"/>
  <c r="BJ217" i="1"/>
  <c r="AV209" i="1"/>
  <c r="BK206" i="1"/>
  <c r="BM206" i="1"/>
  <c r="BJ202" i="1"/>
  <c r="BJ196" i="1"/>
  <c r="BJ192" i="1"/>
  <c r="BJ191" i="1"/>
  <c r="AV178" i="1"/>
  <c r="AX178" i="1"/>
  <c r="BK172" i="1"/>
  <c r="BM172" i="1"/>
  <c r="AZ168" i="1"/>
  <c r="BK155" i="1"/>
  <c r="BM155" i="1"/>
  <c r="BJ152" i="1"/>
  <c r="AV147" i="1"/>
  <c r="BJ144" i="1"/>
  <c r="AZ133" i="1"/>
  <c r="AZ131" i="1"/>
  <c r="AZ120" i="1"/>
  <c r="BK111" i="1"/>
  <c r="BM111" i="1"/>
  <c r="BJ109" i="1"/>
  <c r="AV103" i="1"/>
  <c r="AX103" i="1"/>
  <c r="BJ94" i="1"/>
  <c r="BK71" i="1"/>
  <c r="AW58" i="1"/>
  <c r="AX58" i="1"/>
  <c r="BI47" i="1"/>
  <c r="AV27" i="1"/>
  <c r="AW17" i="1"/>
  <c r="AZ169" i="1"/>
  <c r="BK162" i="1"/>
  <c r="BK236" i="1" a="1"/>
  <c r="BK236" i="1"/>
  <c r="BM236" i="1"/>
  <c r="AW234" i="1"/>
  <c r="AX234" i="1"/>
  <c r="AZ232" i="1"/>
  <c r="BK211" i="1"/>
  <c r="BK210" i="1"/>
  <c r="BM210" i="1"/>
  <c r="AW190" i="1"/>
  <c r="AX190" i="1"/>
  <c r="AW181" i="1"/>
  <c r="AW168" i="1"/>
  <c r="AX168" i="1"/>
  <c r="AZ149" i="1"/>
  <c r="AZ143" i="1"/>
  <c r="BK138" i="1"/>
  <c r="BM138" i="1"/>
  <c r="BK130" i="1"/>
  <c r="BM130" i="1"/>
  <c r="AW120" i="1"/>
  <c r="AX177" i="1"/>
  <c r="BM175" i="1"/>
  <c r="AZ150" i="1"/>
  <c r="AW149" i="1"/>
  <c r="AX149" i="1"/>
  <c r="AW143" i="1"/>
  <c r="BJ114" i="1"/>
  <c r="BK104" i="1"/>
  <c r="BM104" i="1"/>
  <c r="BJ102" i="1"/>
  <c r="AV99" i="1"/>
  <c r="AX99" i="1"/>
  <c r="AV65" i="1"/>
  <c r="AX65" i="1"/>
  <c r="AV64" i="1"/>
  <c r="AX64" i="1"/>
  <c r="AV34" i="1"/>
  <c r="AW13" i="1"/>
  <c r="BM214" i="1"/>
  <c r="BM209" i="1"/>
  <c r="BJ205" i="1"/>
  <c r="AZ194" i="1"/>
  <c r="AV183" i="1"/>
  <c r="AX183" i="1"/>
  <c r="AZ151" i="1"/>
  <c r="AV235" i="1"/>
  <c r="AX235" i="1"/>
  <c r="AV190" i="1"/>
  <c r="AV189" i="1"/>
  <c r="AX189" i="1"/>
  <c r="AX187" i="1"/>
  <c r="AV180" i="1"/>
  <c r="BK168" i="1"/>
  <c r="BM168" i="1"/>
  <c r="AV161" i="1"/>
  <c r="AX161" i="1"/>
  <c r="BK154" i="1"/>
  <c r="BM154" i="1"/>
  <c r="AZ136" i="1"/>
  <c r="BM117" i="1"/>
  <c r="BK100" i="1"/>
  <c r="BM100" i="1"/>
  <c r="BK92" i="1"/>
  <c r="BK72" i="1"/>
  <c r="AV26" i="1"/>
  <c r="AW11" i="1"/>
  <c r="BK88" i="1"/>
  <c r="AV88" i="1"/>
  <c r="AX88" i="1"/>
  <c r="AV219" i="1"/>
  <c r="AX219" i="1"/>
  <c r="BK219" i="1"/>
  <c r="BM219" i="1"/>
  <c r="AZ219" i="1"/>
  <c r="BK191" i="1"/>
  <c r="BM191" i="1"/>
  <c r="AW191" i="1"/>
  <c r="AZ191" i="1"/>
  <c r="AV191" i="1"/>
  <c r="BK164" i="1"/>
  <c r="BM164" i="1"/>
  <c r="AW164" i="1"/>
  <c r="AV164" i="1"/>
  <c r="AX164" i="1"/>
  <c r="BB69" i="1"/>
  <c r="AZ227" i="1"/>
  <c r="AV223" i="1"/>
  <c r="AX223" i="1"/>
  <c r="AZ126" i="1"/>
  <c r="AV126" i="1"/>
  <c r="AV236" i="1"/>
  <c r="AV230" i="1"/>
  <c r="BA203" i="1"/>
  <c r="AV232" i="1"/>
  <c r="AX232" i="1"/>
  <c r="BK240" i="1" a="1"/>
  <c r="BK240" i="1"/>
  <c r="BM240" i="1"/>
  <c r="AV240" i="1"/>
  <c r="AX240" i="1"/>
  <c r="BK225" i="1" a="1"/>
  <c r="BK225" i="1"/>
  <c r="BM225" i="1"/>
  <c r="AV218" i="1"/>
  <c r="AX218" i="1"/>
  <c r="AZ218" i="1"/>
  <c r="AV216" i="1"/>
  <c r="AX216" i="1"/>
  <c r="AV215" i="1"/>
  <c r="AX215" i="1"/>
  <c r="AW215" i="1"/>
  <c r="AZ215" i="1"/>
  <c r="AV210" i="1"/>
  <c r="AX210" i="1"/>
  <c r="AV207" i="1"/>
  <c r="AX207" i="1"/>
  <c r="AW199" i="1"/>
  <c r="BM199" i="1"/>
  <c r="AV198" i="1"/>
  <c r="AX198" i="1"/>
  <c r="BA192" i="1"/>
  <c r="BK142" i="1"/>
  <c r="BM142" i="1"/>
  <c r="AV142" i="1"/>
  <c r="AX142" i="1"/>
  <c r="AV79" i="1"/>
  <c r="AX79" i="1"/>
  <c r="BA191" i="1"/>
  <c r="BA189" i="1"/>
  <c r="BA174" i="1"/>
  <c r="AV109" i="1"/>
  <c r="AX109" i="1"/>
  <c r="BK109" i="1"/>
  <c r="BM109" i="1"/>
  <c r="AW47" i="1"/>
  <c r="AX47" i="1"/>
  <c r="AZ236" i="1"/>
  <c r="AW236" i="1"/>
  <c r="AX236" i="1"/>
  <c r="BK222" i="1" a="1"/>
  <c r="BK222" i="1"/>
  <c r="BM222" i="1"/>
  <c r="AZ222" i="1"/>
  <c r="AV217" i="1"/>
  <c r="AX217" i="1"/>
  <c r="AX213" i="1"/>
  <c r="BK212" i="1"/>
  <c r="BM212" i="1"/>
  <c r="AV212" i="1"/>
  <c r="AX212" i="1"/>
  <c r="AZ212" i="1"/>
  <c r="BK183" i="1"/>
  <c r="BM183" i="1"/>
  <c r="BK182" i="1"/>
  <c r="BM182" i="1"/>
  <c r="AW182" i="1"/>
  <c r="AV182" i="1"/>
  <c r="AZ179" i="1"/>
  <c r="BJ177" i="1"/>
  <c r="AV176" i="1"/>
  <c r="AX176" i="1"/>
  <c r="BK176" i="1"/>
  <c r="BM176" i="1"/>
  <c r="BK157" i="1"/>
  <c r="BM157" i="1"/>
  <c r="AW157" i="1"/>
  <c r="AV231" i="1"/>
  <c r="AX231" i="1"/>
  <c r="AZ231" i="1"/>
  <c r="AV238" i="1"/>
  <c r="AX238" i="1"/>
  <c r="AZ238" i="1"/>
  <c r="AV211" i="1"/>
  <c r="AX211" i="1"/>
  <c r="BA172" i="1"/>
  <c r="AV75" i="1"/>
  <c r="AX75" i="1"/>
  <c r="BK75" i="1"/>
  <c r="BA234" i="1"/>
  <c r="AV227" i="1"/>
  <c r="AX227" i="1"/>
  <c r="BA223" i="1"/>
  <c r="BK215" i="1"/>
  <c r="BM215" i="1"/>
  <c r="BM211" i="1"/>
  <c r="BK208" i="1"/>
  <c r="BM208" i="1"/>
  <c r="AV208" i="1"/>
  <c r="AX208" i="1"/>
  <c r="AZ208" i="1"/>
  <c r="AV197" i="1"/>
  <c r="AX197" i="1"/>
  <c r="AW197" i="1"/>
  <c r="AZ197" i="1"/>
  <c r="BK197" i="1"/>
  <c r="BM197" i="1"/>
  <c r="BK180" i="1"/>
  <c r="BM180" i="1"/>
  <c r="BJ155" i="1"/>
  <c r="BA154" i="1"/>
  <c r="BJ212" i="1"/>
  <c r="AZ204" i="1"/>
  <c r="AV204" i="1"/>
  <c r="AX204" i="1"/>
  <c r="BK204" i="1"/>
  <c r="BM204" i="1"/>
  <c r="BK93" i="1"/>
  <c r="AV226" i="1"/>
  <c r="AX226" i="1"/>
  <c r="BA82" i="1"/>
  <c r="AV41" i="1"/>
  <c r="AW41" i="1"/>
  <c r="AV9" i="1"/>
  <c r="AW9" i="1"/>
  <c r="BK238" i="1" a="1"/>
  <c r="BK238" i="1"/>
  <c r="BK233" i="1" a="1"/>
  <c r="BK233" i="1"/>
  <c r="BM233" i="1"/>
  <c r="AV221" i="1"/>
  <c r="AX221" i="1"/>
  <c r="BK221" i="1" a="1"/>
  <c r="BK221" i="1"/>
  <c r="BM221" i="1"/>
  <c r="AW219" i="1"/>
  <c r="BA218" i="1"/>
  <c r="AW180" i="1"/>
  <c r="AX180" i="1"/>
  <c r="AZ180" i="1"/>
  <c r="AV175" i="1"/>
  <c r="AW174" i="1"/>
  <c r="AZ174" i="1"/>
  <c r="AV174" i="1"/>
  <c r="AX174" i="1"/>
  <c r="AV196" i="1"/>
  <c r="AX196" i="1"/>
  <c r="BA232" i="1"/>
  <c r="BK196" i="1"/>
  <c r="BM196" i="1"/>
  <c r="BK231" i="1" a="1"/>
  <c r="BK231" i="1"/>
  <c r="BM231" i="1"/>
  <c r="AW188" i="1"/>
  <c r="AZ188" i="1"/>
  <c r="BA169" i="1"/>
  <c r="BJ142" i="1"/>
  <c r="AX87" i="1"/>
  <c r="BA208" i="1"/>
  <c r="BK178" i="1"/>
  <c r="BM178" i="1"/>
  <c r="AV237" i="1"/>
  <c r="AX237" i="1"/>
  <c r="AV184" i="1"/>
  <c r="AX184" i="1"/>
  <c r="BK184" i="1"/>
  <c r="BM184" i="1"/>
  <c r="BA64" i="1"/>
  <c r="BA180" i="1"/>
  <c r="BA136" i="1"/>
  <c r="AV76" i="1"/>
  <c r="AX76" i="1"/>
  <c r="BK76" i="1"/>
  <c r="BA224" i="1"/>
  <c r="AZ224" i="1"/>
  <c r="AV224" i="1"/>
  <c r="AX224" i="1"/>
  <c r="AW222" i="1"/>
  <c r="AX222" i="1"/>
  <c r="AV220" i="1"/>
  <c r="AX220" i="1"/>
  <c r="BK220" i="1"/>
  <c r="BM220" i="1"/>
  <c r="BK186" i="1"/>
  <c r="BM186" i="1"/>
  <c r="AW186" i="1"/>
  <c r="AV185" i="1"/>
  <c r="AX185" i="1"/>
  <c r="AV179" i="1"/>
  <c r="BK179" i="1"/>
  <c r="BM179" i="1"/>
  <c r="BK173" i="1"/>
  <c r="BM173" i="1"/>
  <c r="BA170" i="1"/>
  <c r="AZ226" i="1"/>
  <c r="AW162" i="1"/>
  <c r="AX162" i="1"/>
  <c r="AZ162" i="1"/>
  <c r="BJ88" i="1"/>
  <c r="BJ81" i="1"/>
  <c r="AV37" i="1"/>
  <c r="BK235" i="1" a="1"/>
  <c r="BK235" i="1"/>
  <c r="BM235" i="1"/>
  <c r="AV206" i="1"/>
  <c r="AX206" i="1"/>
  <c r="BK187" i="1"/>
  <c r="BM187" i="1"/>
  <c r="BK185" i="1"/>
  <c r="BM185" i="1"/>
  <c r="AW175" i="1"/>
  <c r="AX175" i="1"/>
  <c r="BK166" i="1"/>
  <c r="BM166" i="1"/>
  <c r="AW166" i="1"/>
  <c r="AZ166" i="1"/>
  <c r="AV166" i="1"/>
  <c r="AX166" i="1"/>
  <c r="BK148" i="1"/>
  <c r="BM148" i="1"/>
  <c r="AW148" i="1"/>
  <c r="AX148" i="1"/>
  <c r="AZ148" i="1"/>
  <c r="AV115" i="1"/>
  <c r="AX115" i="1"/>
  <c r="BK115" i="1"/>
  <c r="BM115" i="1"/>
  <c r="BJ113" i="1"/>
  <c r="BK62" i="1"/>
  <c r="AV62" i="1"/>
  <c r="AX62" i="1"/>
  <c r="BK192" i="1"/>
  <c r="BM192" i="1"/>
  <c r="BK189" i="1"/>
  <c r="BM189" i="1"/>
  <c r="AV170" i="1"/>
  <c r="BK170" i="1"/>
  <c r="BK140" i="1"/>
  <c r="BM140" i="1"/>
  <c r="AW140" i="1"/>
  <c r="AZ140" i="1"/>
  <c r="AV140" i="1"/>
  <c r="AX140" i="1"/>
  <c r="BJ123" i="1"/>
  <c r="AV160" i="1"/>
  <c r="BK160" i="1"/>
  <c r="BM160" i="1"/>
  <c r="AW160" i="1"/>
  <c r="AX160" i="1"/>
  <c r="AZ160" i="1"/>
  <c r="BK152" i="1"/>
  <c r="BM152" i="1"/>
  <c r="AW152" i="1"/>
  <c r="AZ152" i="1"/>
  <c r="BK118" i="1"/>
  <c r="BM118" i="1"/>
  <c r="AW118" i="1"/>
  <c r="AZ118" i="1"/>
  <c r="BJ107" i="1"/>
  <c r="BH56" i="1"/>
  <c r="AV48" i="1"/>
  <c r="AX48" i="1"/>
  <c r="AV172" i="1"/>
  <c r="AX172" i="1"/>
  <c r="AW172" i="1"/>
  <c r="AZ172" i="1"/>
  <c r="BM170" i="1"/>
  <c r="BM159" i="1"/>
  <c r="BK112" i="1"/>
  <c r="BM112" i="1"/>
  <c r="AW112" i="1"/>
  <c r="AX112" i="1"/>
  <c r="AV101" i="1"/>
  <c r="AX101" i="1"/>
  <c r="BK101" i="1"/>
  <c r="BM101" i="1"/>
  <c r="AZ57" i="1"/>
  <c r="BK57" i="1"/>
  <c r="AW57" i="1"/>
  <c r="AV57" i="1"/>
  <c r="BK121" i="1"/>
  <c r="BM121" i="1"/>
  <c r="AW121" i="1"/>
  <c r="AX121" i="1"/>
  <c r="AZ121" i="1"/>
  <c r="AV91" i="1"/>
  <c r="AX91" i="1"/>
  <c r="BK91" i="1"/>
  <c r="BK52" i="1"/>
  <c r="AW52" i="1"/>
  <c r="AV52" i="1"/>
  <c r="AX52" i="1"/>
  <c r="AZ52" i="1"/>
  <c r="BH52" i="1"/>
  <c r="BK146" i="1"/>
  <c r="BM146" i="1"/>
  <c r="AW146" i="1"/>
  <c r="AZ146" i="1"/>
  <c r="AV146" i="1"/>
  <c r="AX146" i="1"/>
  <c r="AV127" i="1"/>
  <c r="AX127" i="1"/>
  <c r="AW127" i="1"/>
  <c r="BK127" i="1"/>
  <c r="BM127" i="1"/>
  <c r="AZ127" i="1"/>
  <c r="BA68" i="1"/>
  <c r="AV21" i="1"/>
  <c r="BE47" i="1"/>
  <c r="BB47" i="1"/>
  <c r="BE59" i="1"/>
  <c r="BB59" i="1"/>
  <c r="BE99" i="1"/>
  <c r="BB99" i="1"/>
  <c r="BE114" i="1"/>
  <c r="BE134" i="1"/>
  <c r="BB134" i="1"/>
  <c r="BE140" i="1"/>
  <c r="BE53" i="1"/>
  <c r="BC53" i="1"/>
  <c r="AY53" i="1"/>
  <c r="BE54" i="1"/>
  <c r="BE78" i="1"/>
  <c r="BB78" i="1"/>
  <c r="BE89" i="1"/>
  <c r="BB89" i="1"/>
  <c r="BE130" i="1"/>
  <c r="BB130" i="1"/>
  <c r="BE132" i="1"/>
  <c r="BC132" i="1"/>
  <c r="AY132" i="1"/>
  <c r="BE145" i="1"/>
  <c r="BB145" i="1"/>
  <c r="BE151" i="1"/>
  <c r="BC151" i="1"/>
  <c r="AY151" i="1"/>
  <c r="BE168" i="1"/>
  <c r="BC168" i="1"/>
  <c r="AY168" i="1"/>
  <c r="BE170" i="1"/>
  <c r="BB170" i="1"/>
  <c r="BE57" i="1"/>
  <c r="BB57" i="1"/>
  <c r="BE74" i="1"/>
  <c r="BE97" i="1"/>
  <c r="BC97" i="1"/>
  <c r="AY97" i="1"/>
  <c r="BE100" i="1"/>
  <c r="BC100" i="1"/>
  <c r="AY100" i="1"/>
  <c r="BE111" i="1"/>
  <c r="BC111" i="1"/>
  <c r="AY111" i="1"/>
  <c r="BE128" i="1"/>
  <c r="BB128" i="1"/>
  <c r="BE129" i="1"/>
  <c r="BB129" i="1"/>
  <c r="BE161" i="1"/>
  <c r="BE163" i="1"/>
  <c r="BC163" i="1"/>
  <c r="AY163" i="1"/>
  <c r="BE90" i="1"/>
  <c r="BC90" i="1"/>
  <c r="AY90" i="1"/>
  <c r="BE103" i="1"/>
  <c r="BC103" i="1"/>
  <c r="AY103" i="1"/>
  <c r="BE124" i="1"/>
  <c r="BB124" i="1"/>
  <c r="BE126" i="1"/>
  <c r="BB126" i="1"/>
  <c r="BE141" i="1"/>
  <c r="BE143" i="1"/>
  <c r="BB143" i="1"/>
  <c r="BE147" i="1"/>
  <c r="BB147" i="1"/>
  <c r="BE149" i="1"/>
  <c r="BC149" i="1"/>
  <c r="AY149" i="1"/>
  <c r="BE156" i="1"/>
  <c r="BB156" i="1"/>
  <c r="BE165" i="1"/>
  <c r="BB165" i="1"/>
  <c r="BE51" i="1"/>
  <c r="BB51" i="1"/>
  <c r="BE70" i="1"/>
  <c r="BC70" i="1"/>
  <c r="AY70" i="1"/>
  <c r="BE84" i="1"/>
  <c r="BB84" i="1"/>
  <c r="BE87" i="1"/>
  <c r="BC87" i="1"/>
  <c r="AY87" i="1"/>
  <c r="BE117" i="1"/>
  <c r="BE120" i="1"/>
  <c r="BB120" i="1"/>
  <c r="BE125" i="1"/>
  <c r="BE139" i="1"/>
  <c r="BC139" i="1"/>
  <c r="AY139" i="1"/>
  <c r="BE159" i="1"/>
  <c r="BB159" i="1"/>
  <c r="BE66" i="1"/>
  <c r="BB66" i="1"/>
  <c r="BE101" i="1"/>
  <c r="BB101" i="1"/>
  <c r="BE106" i="1"/>
  <c r="BB106" i="1"/>
  <c r="BE135" i="1"/>
  <c r="BE138" i="1"/>
  <c r="BB138" i="1"/>
  <c r="BE153" i="1"/>
  <c r="BB153" i="1"/>
  <c r="BE167" i="1"/>
  <c r="BB167" i="1"/>
  <c r="BC167" i="1"/>
  <c r="AY167" i="1"/>
  <c r="BE62" i="1"/>
  <c r="BC62" i="1"/>
  <c r="AY62" i="1"/>
  <c r="BE80" i="1"/>
  <c r="BC80" i="1"/>
  <c r="AY80" i="1"/>
  <c r="BB80" i="1"/>
  <c r="BE88" i="1"/>
  <c r="BB88" i="1"/>
  <c r="BE95" i="1"/>
  <c r="BE98" i="1"/>
  <c r="BB98" i="1"/>
  <c r="BE115" i="1"/>
  <c r="BB115" i="1"/>
  <c r="BE169" i="1"/>
  <c r="BC169" i="1"/>
  <c r="AY169" i="1"/>
  <c r="BE171" i="1"/>
  <c r="BB171" i="1"/>
  <c r="BE107" i="1"/>
  <c r="BE112" i="1"/>
  <c r="BB112" i="1"/>
  <c r="BC112" i="1"/>
  <c r="AY112" i="1"/>
  <c r="BE131" i="1"/>
  <c r="BB131" i="1"/>
  <c r="BE146" i="1"/>
  <c r="BE150" i="1"/>
  <c r="BC150" i="1"/>
  <c r="AY150" i="1"/>
  <c r="BE155" i="1"/>
  <c r="BB155" i="1"/>
  <c r="BE157" i="1"/>
  <c r="BB157" i="1"/>
  <c r="BE76" i="1"/>
  <c r="BB76" i="1"/>
  <c r="BE93" i="1"/>
  <c r="BB93" i="1"/>
  <c r="BE102" i="1"/>
  <c r="BC102" i="1"/>
  <c r="AY102" i="1"/>
  <c r="BE121" i="1"/>
  <c r="BC121" i="1"/>
  <c r="AY121" i="1"/>
  <c r="BE122" i="1"/>
  <c r="BC122" i="1"/>
  <c r="AY122" i="1"/>
  <c r="BE142" i="1"/>
  <c r="BE144" i="1"/>
  <c r="BE148" i="1"/>
  <c r="BB148" i="1"/>
  <c r="BE58" i="1"/>
  <c r="BC58" i="1"/>
  <c r="AY58" i="1"/>
  <c r="BE64" i="1"/>
  <c r="BC64" i="1"/>
  <c r="AY64" i="1"/>
  <c r="BB64" i="1"/>
  <c r="BE82" i="1"/>
  <c r="BB82" i="1"/>
  <c r="BC82" i="1"/>
  <c r="AY82" i="1"/>
  <c r="BE94" i="1"/>
  <c r="BB94" i="1"/>
  <c r="BE108" i="1"/>
  <c r="BC108" i="1"/>
  <c r="AY108" i="1"/>
  <c r="BE133" i="1"/>
  <c r="BB133" i="1"/>
  <c r="BE136" i="1"/>
  <c r="BC136" i="1"/>
  <c r="AY136" i="1"/>
  <c r="BB136" i="1"/>
  <c r="BE137" i="1"/>
  <c r="BC137" i="1"/>
  <c r="AY137" i="1"/>
  <c r="BE154" i="1"/>
  <c r="BC154" i="1"/>
  <c r="AY154" i="1"/>
  <c r="BB154" i="1"/>
  <c r="BE158" i="1"/>
  <c r="BB158" i="1"/>
  <c r="AW167" i="1"/>
  <c r="AX167" i="1"/>
  <c r="BA156" i="1"/>
  <c r="AV155" i="1"/>
  <c r="AX155" i="1"/>
  <c r="BA149" i="1"/>
  <c r="AW147" i="1"/>
  <c r="AX147" i="1"/>
  <c r="BA143" i="1"/>
  <c r="BA124" i="1"/>
  <c r="AV93" i="1"/>
  <c r="AX93" i="1"/>
  <c r="AV169" i="1"/>
  <c r="AX169" i="1"/>
  <c r="BK153" i="1"/>
  <c r="BM153" i="1"/>
  <c r="BK139" i="1"/>
  <c r="BM139" i="1"/>
  <c r="AV132" i="1"/>
  <c r="AX132" i="1"/>
  <c r="AV100" i="1"/>
  <c r="AX100" i="1"/>
  <c r="BK74" i="1"/>
  <c r="AV167" i="1"/>
  <c r="BK163" i="1"/>
  <c r="BM163" i="1"/>
  <c r="BK161" i="1"/>
  <c r="AZ114" i="1"/>
  <c r="BK103" i="1"/>
  <c r="BM103" i="1"/>
  <c r="BK78" i="1"/>
  <c r="BA157" i="1"/>
  <c r="AZ153" i="1"/>
  <c r="BK145" i="1"/>
  <c r="BM145" i="1"/>
  <c r="BH47" i="1"/>
  <c r="BJ47" i="1"/>
  <c r="AZ173" i="1"/>
  <c r="AZ142" i="1"/>
  <c r="AV107" i="1"/>
  <c r="AX107" i="1"/>
  <c r="AZ47" i="1"/>
  <c r="BJ241" i="1"/>
  <c r="AX141" i="1"/>
  <c r="AX199" i="1"/>
  <c r="BJ56" i="1"/>
  <c r="AX171" i="1"/>
  <c r="BJ58" i="1"/>
  <c r="BC98" i="1"/>
  <c r="AY98" i="1"/>
  <c r="AX182" i="1"/>
  <c r="AX126" i="1"/>
  <c r="BC153" i="1"/>
  <c r="AY153" i="1"/>
  <c r="AX120" i="1"/>
  <c r="AX181" i="1"/>
  <c r="BC135" i="1"/>
  <c r="AY135" i="1"/>
  <c r="BB135" i="1"/>
  <c r="BC130" i="1"/>
  <c r="AY130" i="1"/>
  <c r="BC159" i="1"/>
  <c r="AY159" i="1"/>
  <c r="BC133" i="1"/>
  <c r="AY133" i="1"/>
  <c r="BC57" i="1"/>
  <c r="AY57" i="1"/>
  <c r="BC156" i="1"/>
  <c r="AY156" i="1"/>
  <c r="BC74" i="1"/>
  <c r="AY74" i="1"/>
  <c r="BB74" i="1"/>
  <c r="BC129" i="1"/>
  <c r="AY129" i="1"/>
  <c r="BB58" i="1"/>
  <c r="BB150" i="1"/>
  <c r="BB125" i="1"/>
  <c r="BC125" i="1"/>
  <c r="AY125" i="1"/>
  <c r="BB53" i="1"/>
  <c r="BC143" i="1"/>
  <c r="AY143" i="1"/>
  <c r="BC165" i="1"/>
  <c r="AY165" i="1"/>
  <c r="BB108" i="1"/>
  <c r="BC155" i="1"/>
  <c r="AY155" i="1"/>
  <c r="BB54" i="1"/>
  <c r="BC54" i="1"/>
  <c r="AY54" i="1"/>
  <c r="BC141" i="1"/>
  <c r="AY141" i="1"/>
  <c r="BB141" i="1"/>
  <c r="BC106" i="1"/>
  <c r="AY106" i="1"/>
  <c r="BB146" i="1"/>
  <c r="BC146" i="1"/>
  <c r="AY146" i="1"/>
  <c r="BC148" i="1"/>
  <c r="AY148" i="1"/>
  <c r="BB117" i="1"/>
  <c r="BC134" i="1"/>
  <c r="AY134" i="1"/>
  <c r="BC124" i="1"/>
  <c r="AY124" i="1"/>
  <c r="BC161" i="1"/>
  <c r="AY161" i="1"/>
  <c r="BB161" i="1"/>
  <c r="BB95" i="1"/>
  <c r="BC95" i="1"/>
  <c r="AY95" i="1"/>
  <c r="BC144" i="1"/>
  <c r="AY144" i="1"/>
  <c r="BB144" i="1"/>
  <c r="BB142" i="1"/>
  <c r="BC142" i="1"/>
  <c r="AY142" i="1"/>
  <c r="BC84" i="1"/>
  <c r="AY84" i="1"/>
  <c r="BB90" i="1"/>
  <c r="BC158" i="1"/>
  <c r="AY158" i="1"/>
  <c r="BB168" i="1"/>
  <c r="BB114" i="1"/>
  <c r="BC114" i="1"/>
  <c r="AY114" i="1"/>
  <c r="BC88" i="1"/>
  <c r="AY88" i="1"/>
  <c r="BB122" i="1"/>
  <c r="BB107" i="1"/>
  <c r="BC107" i="1"/>
  <c r="AY107" i="1"/>
  <c r="BC138" i="1"/>
  <c r="AY138" i="1"/>
  <c r="BC59" i="1"/>
  <c r="AY59" i="1"/>
  <c r="BC128" i="1"/>
  <c r="AY128" i="1"/>
  <c r="AX191" i="1"/>
  <c r="AW242" i="1"/>
  <c r="O64" i="6"/>
  <c r="O64" i="7"/>
  <c r="AE59" i="12"/>
  <c r="V119" i="12"/>
  <c r="AF49" i="12"/>
  <c r="AC97" i="12"/>
  <c r="BB70" i="1"/>
  <c r="BB137" i="1"/>
  <c r="BB100" i="1"/>
  <c r="BC115" i="1"/>
  <c r="AY115" i="1"/>
  <c r="O117" i="2"/>
  <c r="BB52" i="1"/>
  <c r="M55" i="1"/>
  <c r="AF69" i="9"/>
  <c r="V119" i="9"/>
  <c r="AF49" i="9"/>
  <c r="V119" i="5"/>
  <c r="AF49" i="5"/>
  <c r="AE59" i="5"/>
  <c r="AC97" i="5"/>
  <c r="Z31" i="26"/>
  <c r="T48" i="26"/>
  <c r="T49" i="26"/>
  <c r="T56" i="26"/>
  <c r="V102" i="26"/>
  <c r="O110" i="12"/>
  <c r="AC107" i="12"/>
  <c r="AC108" i="12"/>
  <c r="V108" i="12"/>
  <c r="AC74" i="11"/>
  <c r="AC102" i="11"/>
  <c r="BB169" i="1"/>
  <c r="M117" i="8"/>
  <c r="V119" i="11"/>
  <c r="AF49" i="11"/>
  <c r="AE59" i="11"/>
  <c r="V100" i="10"/>
  <c r="V101" i="10"/>
  <c r="AC99" i="10"/>
  <c r="AC100" i="10"/>
  <c r="AC101" i="10"/>
  <c r="AC108" i="7"/>
  <c r="AF69" i="7"/>
  <c r="AC99" i="6"/>
  <c r="AC100" i="6"/>
  <c r="AC101" i="6"/>
  <c r="V100" i="6"/>
  <c r="V101" i="6"/>
  <c r="AC97" i="2"/>
  <c r="V119" i="2"/>
  <c r="AF49" i="2"/>
  <c r="AC97" i="26"/>
  <c r="AE59" i="26"/>
  <c r="V119" i="26"/>
  <c r="AF49" i="26"/>
  <c r="BC126" i="1"/>
  <c r="AY126" i="1"/>
  <c r="BC157" i="1"/>
  <c r="AY157" i="1"/>
  <c r="BB103" i="1"/>
  <c r="BB97" i="1"/>
  <c r="M117" i="12"/>
  <c r="Y48" i="11"/>
  <c r="V97" i="11"/>
  <c r="AC99" i="7"/>
  <c r="AC100" i="7"/>
  <c r="AC101" i="7"/>
  <c r="V100" i="7"/>
  <c r="V101" i="7"/>
  <c r="V97" i="8"/>
  <c r="Y48" i="8"/>
  <c r="O99" i="2"/>
  <c r="O72" i="2"/>
  <c r="BC93" i="1"/>
  <c r="AY93" i="1"/>
  <c r="O110" i="8"/>
  <c r="M110" i="11"/>
  <c r="V108" i="8"/>
  <c r="AE59" i="8"/>
  <c r="AC97" i="8"/>
  <c r="V119" i="8"/>
  <c r="AF49" i="8"/>
  <c r="O64" i="25"/>
  <c r="M117" i="25"/>
  <c r="O110" i="25"/>
  <c r="BC145" i="1"/>
  <c r="AY145" i="1"/>
  <c r="BC76" i="1"/>
  <c r="AY76" i="1"/>
  <c r="BC89" i="1"/>
  <c r="AY89" i="1"/>
  <c r="E98" i="2"/>
  <c r="O116" i="12"/>
  <c r="Y48" i="12"/>
  <c r="T56" i="11"/>
  <c r="T58" i="11"/>
  <c r="V58" i="11"/>
  <c r="AC74" i="9"/>
  <c r="AC102" i="9"/>
  <c r="M110" i="9"/>
  <c r="M110" i="5"/>
  <c r="O110" i="2"/>
  <c r="O64" i="2"/>
  <c r="BB140" i="1"/>
  <c r="E97" i="2"/>
  <c r="E105" i="2"/>
  <c r="AC107" i="5"/>
  <c r="AC108" i="5"/>
  <c r="V108" i="5"/>
  <c r="BC99" i="1"/>
  <c r="AY99" i="1"/>
  <c r="O64" i="10"/>
  <c r="M117" i="6"/>
  <c r="O110" i="6"/>
  <c r="AC74" i="2"/>
  <c r="AC102" i="2"/>
  <c r="E105" i="29"/>
  <c r="M117" i="7"/>
  <c r="O110" i="7"/>
  <c r="M117" i="10"/>
  <c r="O116" i="9"/>
  <c r="M117" i="9"/>
  <c r="AE59" i="9"/>
  <c r="AC97" i="9"/>
  <c r="Z84" i="6"/>
  <c r="AF70" i="6"/>
  <c r="AF69" i="6"/>
  <c r="M117" i="5"/>
  <c r="Y48" i="5"/>
  <c r="V97" i="5"/>
  <c r="O64" i="26"/>
  <c r="O110" i="26"/>
  <c r="M117" i="26"/>
  <c r="V43" i="12"/>
  <c r="B69" i="11"/>
  <c r="Z84" i="10"/>
  <c r="AF70" i="10"/>
  <c r="AA31" i="10"/>
  <c r="AF59" i="10"/>
  <c r="V108" i="7"/>
  <c r="AB65" i="7"/>
  <c r="V44" i="26"/>
  <c r="AF70" i="26"/>
  <c r="BM119" i="1"/>
  <c r="O110" i="29"/>
  <c r="Y64" i="10"/>
  <c r="AB65" i="12"/>
  <c r="V108" i="9"/>
  <c r="AC75" i="9"/>
  <c r="Z69" i="9"/>
  <c r="AC107" i="8"/>
  <c r="AC108" i="8"/>
  <c r="AD104" i="8"/>
  <c r="AD105" i="8"/>
  <c r="AD106" i="8"/>
  <c r="AD107" i="8"/>
  <c r="Y64" i="8"/>
  <c r="W105" i="7"/>
  <c r="W106" i="7"/>
  <c r="V108" i="2"/>
  <c r="AF69" i="29"/>
  <c r="AC75" i="10"/>
  <c r="Z69" i="10"/>
  <c r="BM241" i="1"/>
  <c r="O116" i="29"/>
  <c r="AG49" i="9"/>
  <c r="AC75" i="8"/>
  <c r="Z69" i="8"/>
  <c r="Y64" i="7"/>
  <c r="R97" i="10"/>
  <c r="AA31" i="8"/>
  <c r="AF59" i="8"/>
  <c r="R97" i="7"/>
  <c r="AA31" i="2"/>
  <c r="AF59" i="2"/>
  <c r="AD104" i="25"/>
  <c r="AD105" i="25"/>
  <c r="AD106" i="25"/>
  <c r="AD107" i="25"/>
  <c r="Z84" i="5"/>
  <c r="AF70" i="5"/>
  <c r="AC107" i="25"/>
  <c r="AC108" i="25"/>
  <c r="V108" i="25"/>
  <c r="BM218" i="1"/>
  <c r="BM174" i="1"/>
  <c r="AX136" i="1"/>
  <c r="BE49" i="1"/>
  <c r="BC49" i="1"/>
  <c r="AY49" i="1"/>
  <c r="BE119" i="1"/>
  <c r="BE166" i="1"/>
  <c r="BB166" i="1"/>
  <c r="BE177" i="1"/>
  <c r="BE179" i="1"/>
  <c r="BC179" i="1"/>
  <c r="AY179" i="1"/>
  <c r="BE181" i="1"/>
  <c r="BE182" i="1"/>
  <c r="BB182" i="1"/>
  <c r="BE212" i="1"/>
  <c r="BE215" i="1"/>
  <c r="BB216" i="1"/>
  <c r="BE216" i="1"/>
  <c r="BE118" i="1"/>
  <c r="BB118" i="1"/>
  <c r="BE200" i="1"/>
  <c r="BC200" i="1"/>
  <c r="AY200" i="1"/>
  <c r="BE214" i="1"/>
  <c r="BE223" i="1"/>
  <c r="BB224" i="1"/>
  <c r="BE229" i="1"/>
  <c r="BE68" i="1"/>
  <c r="BE164" i="1"/>
  <c r="BE201" i="1"/>
  <c r="BB202" i="1"/>
  <c r="BE224" i="1"/>
  <c r="BC224" i="1"/>
  <c r="AY224" i="1"/>
  <c r="BE116" i="1"/>
  <c r="BE183" i="1"/>
  <c r="BB183" i="1"/>
  <c r="BE202" i="1"/>
  <c r="BB203" i="1"/>
  <c r="BE217" i="1"/>
  <c r="BC217" i="1"/>
  <c r="AY217" i="1"/>
  <c r="BE225" i="1"/>
  <c r="BE226" i="1"/>
  <c r="BB227" i="1"/>
  <c r="BE230" i="1"/>
  <c r="BB231" i="1"/>
  <c r="BE234" i="1"/>
  <c r="BB236" i="1"/>
  <c r="BE239" i="1"/>
  <c r="BC239" i="1"/>
  <c r="AY239" i="1"/>
  <c r="BE184" i="1"/>
  <c r="BB184" i="1"/>
  <c r="BE227" i="1"/>
  <c r="BC227" i="1"/>
  <c r="AY227" i="1"/>
  <c r="BE231" i="1"/>
  <c r="BB232" i="1"/>
  <c r="BE160" i="1"/>
  <c r="BC160" i="1"/>
  <c r="AY160" i="1"/>
  <c r="BE172" i="1"/>
  <c r="BE185" i="1"/>
  <c r="BC185" i="1"/>
  <c r="AY185" i="1"/>
  <c r="BE203" i="1"/>
  <c r="BE204" i="1"/>
  <c r="BE218" i="1"/>
  <c r="BE219" i="1"/>
  <c r="BB220" i="1"/>
  <c r="BE232" i="1"/>
  <c r="BE233" i="1"/>
  <c r="BB234" i="1"/>
  <c r="BE235" i="1"/>
  <c r="BC235" i="1"/>
  <c r="AY235" i="1"/>
  <c r="BE240" i="1"/>
  <c r="BC240" i="1"/>
  <c r="AY240" i="1"/>
  <c r="BE113" i="1"/>
  <c r="BE191" i="1"/>
  <c r="BB191" i="1"/>
  <c r="BE192" i="1"/>
  <c r="BE236" i="1"/>
  <c r="BC236" i="1"/>
  <c r="AY236" i="1"/>
  <c r="BE96" i="1"/>
  <c r="BE186" i="1"/>
  <c r="BB186" i="1"/>
  <c r="BE188" i="1"/>
  <c r="BE189" i="1"/>
  <c r="BE193" i="1"/>
  <c r="BC193" i="1"/>
  <c r="AY193" i="1"/>
  <c r="BE220" i="1"/>
  <c r="BC220" i="1"/>
  <c r="AY220" i="1"/>
  <c r="BE237" i="1"/>
  <c r="BB239" i="1"/>
  <c r="BE104" i="1"/>
  <c r="BE152" i="1"/>
  <c r="BC152" i="1"/>
  <c r="AY152" i="1"/>
  <c r="BE173" i="1"/>
  <c r="BB173" i="1"/>
  <c r="BE174" i="1"/>
  <c r="BE175" i="1"/>
  <c r="BB175" i="1"/>
  <c r="BE187" i="1"/>
  <c r="BE190" i="1"/>
  <c r="BC190" i="1"/>
  <c r="AY190" i="1"/>
  <c r="BE205" i="1"/>
  <c r="BE221" i="1"/>
  <c r="BC221" i="1"/>
  <c r="AY221" i="1"/>
  <c r="BE238" i="1"/>
  <c r="BB240" i="1"/>
  <c r="BE86" i="1"/>
  <c r="BE123" i="1"/>
  <c r="BE127" i="1"/>
  <c r="BB127" i="1"/>
  <c r="BE194" i="1"/>
  <c r="BC194" i="1"/>
  <c r="AY194" i="1"/>
  <c r="BE199" i="1"/>
  <c r="BB200" i="1"/>
  <c r="BE206" i="1"/>
  <c r="BE207" i="1"/>
  <c r="BE208" i="1"/>
  <c r="BE210" i="1"/>
  <c r="BE72" i="1"/>
  <c r="BE105" i="1"/>
  <c r="BB105" i="1"/>
  <c r="BE176" i="1"/>
  <c r="BB176" i="1"/>
  <c r="BE195" i="1"/>
  <c r="BC195" i="1"/>
  <c r="AY195" i="1"/>
  <c r="BE197" i="1"/>
  <c r="BE198" i="1"/>
  <c r="BB199" i="1"/>
  <c r="BE209" i="1"/>
  <c r="BE222" i="1"/>
  <c r="BE91" i="1"/>
  <c r="BE178" i="1"/>
  <c r="BB178" i="1"/>
  <c r="BE180" i="1"/>
  <c r="BE196" i="1"/>
  <c r="BC196" i="1"/>
  <c r="AY196" i="1"/>
  <c r="BE211" i="1"/>
  <c r="BB212" i="1"/>
  <c r="BE213" i="1"/>
  <c r="BB214" i="1"/>
  <c r="BE228" i="1"/>
  <c r="BC228" i="1"/>
  <c r="AY228" i="1"/>
  <c r="AC108" i="29"/>
  <c r="AZ228" i="1"/>
  <c r="BK95" i="1"/>
  <c r="BI51" i="1"/>
  <c r="BJ51" i="1"/>
  <c r="AV122" i="1"/>
  <c r="AX122" i="1"/>
  <c r="BK177" i="1"/>
  <c r="BM177" i="1"/>
  <c r="AZ111" i="1"/>
  <c r="AV83" i="1"/>
  <c r="AX83" i="1"/>
  <c r="AZ206" i="1"/>
  <c r="AW189" i="1"/>
  <c r="BC184" i="1"/>
  <c r="AY184" i="1"/>
  <c r="AV106" i="1"/>
  <c r="AX106" i="1"/>
  <c r="AV194" i="1"/>
  <c r="AX194" i="1"/>
  <c r="AV153" i="1"/>
  <c r="AX153" i="1"/>
  <c r="AV111" i="1"/>
  <c r="AX111" i="1"/>
  <c r="AV94" i="1"/>
  <c r="AX94" i="1"/>
  <c r="AZ203" i="1"/>
  <c r="AV145" i="1"/>
  <c r="AX145" i="1"/>
  <c r="AZ187" i="1"/>
  <c r="BB196" i="1"/>
  <c r="BB211" i="1"/>
  <c r="BB205" i="1"/>
  <c r="BC204" i="1"/>
  <c r="AY204" i="1"/>
  <c r="BB238" i="1"/>
  <c r="BC199" i="1"/>
  <c r="AY199" i="1"/>
  <c r="BB194" i="1"/>
  <c r="BB195" i="1"/>
  <c r="BB113" i="1"/>
  <c r="BC113" i="1"/>
  <c r="AY113" i="1"/>
  <c r="BC231" i="1"/>
  <c r="AY231" i="1"/>
  <c r="BB225" i="1"/>
  <c r="Z31" i="25"/>
  <c r="T48" i="25"/>
  <c r="T49" i="25"/>
  <c r="T56" i="25"/>
  <c r="V102" i="25"/>
  <c r="AF69" i="12"/>
  <c r="V44" i="12"/>
  <c r="AF70" i="12"/>
  <c r="BB198" i="1"/>
  <c r="BC197" i="1"/>
  <c r="AY197" i="1"/>
  <c r="BB123" i="1"/>
  <c r="BC123" i="1"/>
  <c r="AY123" i="1"/>
  <c r="BC237" i="1"/>
  <c r="AY237" i="1"/>
  <c r="BB237" i="1"/>
  <c r="BB164" i="1"/>
  <c r="BC164" i="1"/>
  <c r="AY164" i="1"/>
  <c r="BB179" i="1"/>
  <c r="AC102" i="7"/>
  <c r="AC74" i="7"/>
  <c r="BB177" i="1"/>
  <c r="BC177" i="1"/>
  <c r="AY177" i="1"/>
  <c r="O99" i="10"/>
  <c r="O100" i="10"/>
  <c r="O117" i="10"/>
  <c r="D101" i="10"/>
  <c r="BC176" i="1"/>
  <c r="AY176" i="1"/>
  <c r="BC238" i="1"/>
  <c r="AY238" i="1"/>
  <c r="BB193" i="1"/>
  <c r="BB233" i="1"/>
  <c r="BC232" i="1"/>
  <c r="AY232" i="1"/>
  <c r="BB235" i="1"/>
  <c r="BB230" i="1"/>
  <c r="BC229" i="1"/>
  <c r="AY229" i="1"/>
  <c r="BC166" i="1"/>
  <c r="AY166" i="1"/>
  <c r="BC173" i="1"/>
  <c r="AY173" i="1"/>
  <c r="O116" i="10"/>
  <c r="Z31" i="8"/>
  <c r="V102" i="8"/>
  <c r="AE59" i="10"/>
  <c r="AC97" i="10"/>
  <c r="V119" i="10"/>
  <c r="AF49" i="10"/>
  <c r="V97" i="10"/>
  <c r="Y48" i="10"/>
  <c r="T48" i="10"/>
  <c r="O100" i="7"/>
  <c r="O99" i="7"/>
  <c r="O117" i="7"/>
  <c r="D101" i="7"/>
  <c r="BC211" i="1"/>
  <c r="AY211" i="1"/>
  <c r="BB72" i="1"/>
  <c r="BC72" i="1"/>
  <c r="AY72" i="1"/>
  <c r="BC205" i="1"/>
  <c r="AY205" i="1"/>
  <c r="BB206" i="1"/>
  <c r="BB188" i="1"/>
  <c r="BC188" i="1"/>
  <c r="AY188" i="1"/>
  <c r="BB219" i="1"/>
  <c r="BC218" i="1"/>
  <c r="AY218" i="1"/>
  <c r="BB215" i="1"/>
  <c r="BC214" i="1"/>
  <c r="AY214" i="1"/>
  <c r="T48" i="5"/>
  <c r="T49" i="5"/>
  <c r="T56" i="5"/>
  <c r="T58" i="5"/>
  <c r="V58" i="5"/>
  <c r="AC74" i="5"/>
  <c r="AC102" i="5"/>
  <c r="Y48" i="7"/>
  <c r="T48" i="7"/>
  <c r="T49" i="7"/>
  <c r="T56" i="7"/>
  <c r="T58" i="7"/>
  <c r="V58" i="7"/>
  <c r="V97" i="7"/>
  <c r="O116" i="7"/>
  <c r="O99" i="5"/>
  <c r="O117" i="5"/>
  <c r="O100" i="5"/>
  <c r="D101" i="5"/>
  <c r="O110" i="10"/>
  <c r="AC97" i="7"/>
  <c r="AE59" i="7"/>
  <c r="V119" i="7"/>
  <c r="AF49" i="7"/>
  <c r="BB189" i="1"/>
  <c r="BC189" i="1"/>
  <c r="AY189" i="1"/>
  <c r="BB119" i="1"/>
  <c r="BC119" i="1"/>
  <c r="AY119" i="1"/>
  <c r="O64" i="11"/>
  <c r="BB190" i="1"/>
  <c r="BC186" i="1"/>
  <c r="AY186" i="1"/>
  <c r="V102" i="2"/>
  <c r="Z31" i="2"/>
  <c r="T48" i="2"/>
  <c r="T49" i="2"/>
  <c r="T56" i="2"/>
  <c r="T58" i="2"/>
  <c r="V58" i="2"/>
  <c r="BB180" i="1"/>
  <c r="BC180" i="1"/>
  <c r="AY180" i="1"/>
  <c r="BB209" i="1"/>
  <c r="BC208" i="1"/>
  <c r="AY208" i="1"/>
  <c r="BB187" i="1"/>
  <c r="BC187" i="1"/>
  <c r="AY187" i="1"/>
  <c r="BB96" i="1"/>
  <c r="BC96" i="1"/>
  <c r="AY96" i="1"/>
  <c r="BB204" i="1"/>
  <c r="BC203" i="1"/>
  <c r="AY203" i="1"/>
  <c r="BB218" i="1"/>
  <c r="Z31" i="7"/>
  <c r="V102" i="7"/>
  <c r="O116" i="5"/>
  <c r="O116" i="26"/>
  <c r="D101" i="26"/>
  <c r="O99" i="26"/>
  <c r="O117" i="26"/>
  <c r="O100" i="26"/>
  <c r="O100" i="25"/>
  <c r="O116" i="25"/>
  <c r="O117" i="25"/>
  <c r="D101" i="25"/>
  <c r="O99" i="25"/>
  <c r="V102" i="12"/>
  <c r="Z31" i="12"/>
  <c r="T48" i="12"/>
  <c r="T49" i="12"/>
  <c r="BB91" i="1"/>
  <c r="BC91" i="1"/>
  <c r="AY91" i="1"/>
  <c r="BB207" i="1"/>
  <c r="BC206" i="1"/>
  <c r="AY206" i="1"/>
  <c r="BB174" i="1"/>
  <c r="BC174" i="1"/>
  <c r="AY174" i="1"/>
  <c r="BB192" i="1"/>
  <c r="BC192" i="1"/>
  <c r="AY192" i="1"/>
  <c r="BB172" i="1"/>
  <c r="BC172" i="1"/>
  <c r="AY172" i="1"/>
  <c r="BC215" i="1"/>
  <c r="AY215" i="1"/>
  <c r="O117" i="12"/>
  <c r="O100" i="12"/>
  <c r="D101" i="12"/>
  <c r="O99" i="12"/>
  <c r="AC74" i="12"/>
  <c r="AC102" i="12"/>
  <c r="O116" i="6"/>
  <c r="AC74" i="8"/>
  <c r="AC102" i="8"/>
  <c r="V97" i="6"/>
  <c r="Y48" i="6"/>
  <c r="T48" i="6"/>
  <c r="T49" i="6"/>
  <c r="T56" i="6"/>
  <c r="T58" i="6"/>
  <c r="V58" i="6"/>
  <c r="AC74" i="29"/>
  <c r="AC102" i="29"/>
  <c r="BC86" i="1"/>
  <c r="AY86" i="1"/>
  <c r="BB86" i="1"/>
  <c r="BC233" i="1"/>
  <c r="AY233" i="1"/>
  <c r="BB68" i="1"/>
  <c r="BC68" i="1"/>
  <c r="AY68" i="1"/>
  <c r="BC230" i="1"/>
  <c r="AY230" i="1"/>
  <c r="V102" i="5"/>
  <c r="Z31" i="5"/>
  <c r="BB197" i="1"/>
  <c r="BB217" i="1"/>
  <c r="BC216" i="1"/>
  <c r="AY216" i="1"/>
  <c r="BC222" i="1"/>
  <c r="AY222" i="1"/>
  <c r="BB223" i="1"/>
  <c r="BB160" i="1"/>
  <c r="BB116" i="1"/>
  <c r="BC116" i="1"/>
  <c r="AY116" i="1"/>
  <c r="BB213" i="1"/>
  <c r="BC212" i="1"/>
  <c r="AY212" i="1"/>
  <c r="BB210" i="1"/>
  <c r="BC209" i="1"/>
  <c r="AY209" i="1"/>
  <c r="O110" i="5"/>
  <c r="O64" i="5"/>
  <c r="T48" i="8"/>
  <c r="T49" i="8"/>
  <c r="T56" i="8"/>
  <c r="T58" i="8"/>
  <c r="V58" i="8"/>
  <c r="M117" i="11"/>
  <c r="O110" i="11"/>
  <c r="AC97" i="6"/>
  <c r="AE59" i="6"/>
  <c r="V119" i="6"/>
  <c r="AF49" i="6"/>
  <c r="BB222" i="1"/>
  <c r="BC219" i="1"/>
  <c r="AY219" i="1"/>
  <c r="D101" i="6"/>
  <c r="O100" i="6"/>
  <c r="O117" i="6"/>
  <c r="O99" i="6"/>
  <c r="BB226" i="1"/>
  <c r="BC225" i="1"/>
  <c r="AY225" i="1"/>
  <c r="BB208" i="1"/>
  <c r="BC207" i="1"/>
  <c r="AY207" i="1"/>
  <c r="BB152" i="1"/>
  <c r="BC182" i="1"/>
  <c r="AY182" i="1"/>
  <c r="BC104" i="1"/>
  <c r="AY104" i="1"/>
  <c r="BB104" i="1"/>
  <c r="BB181" i="1"/>
  <c r="BC181" i="1"/>
  <c r="AY181" i="1"/>
  <c r="AC102" i="25"/>
  <c r="AC74" i="25"/>
  <c r="V102" i="9"/>
  <c r="Z31" i="9"/>
  <c r="T48" i="9"/>
  <c r="T49" i="9"/>
  <c r="T56" i="9"/>
  <c r="T58" i="9"/>
  <c r="V58" i="9"/>
  <c r="O99" i="9"/>
  <c r="O100" i="9"/>
  <c r="O117" i="9"/>
  <c r="D101" i="9"/>
  <c r="O110" i="9"/>
  <c r="O64" i="9"/>
  <c r="O100" i="8"/>
  <c r="D101" i="8"/>
  <c r="O99" i="8"/>
  <c r="O116" i="8"/>
  <c r="O117" i="8"/>
  <c r="K26" i="12"/>
  <c r="C108" i="12"/>
  <c r="C106" i="12"/>
  <c r="C108" i="10"/>
  <c r="K26" i="10"/>
  <c r="C106" i="10"/>
  <c r="C106" i="6"/>
  <c r="K26" i="6"/>
  <c r="C108" i="6"/>
  <c r="C108" i="25"/>
  <c r="K26" i="25"/>
  <c r="C106" i="25"/>
  <c r="O117" i="11"/>
  <c r="D101" i="11"/>
  <c r="O99" i="11"/>
  <c r="O100" i="11"/>
  <c r="O116" i="11"/>
  <c r="C108" i="9"/>
  <c r="K26" i="9"/>
  <c r="C106" i="9"/>
  <c r="K26" i="7"/>
  <c r="C106" i="7"/>
  <c r="C108" i="7"/>
  <c r="C106" i="5"/>
  <c r="C108" i="5"/>
  <c r="K26" i="5"/>
  <c r="C106" i="8"/>
  <c r="K26" i="8"/>
  <c r="C108" i="8"/>
  <c r="C106" i="26"/>
  <c r="K26" i="26"/>
  <c r="C108" i="26"/>
  <c r="T56" i="10"/>
  <c r="T58" i="10"/>
  <c r="V58" i="10"/>
  <c r="T49" i="10"/>
  <c r="K26" i="11"/>
  <c r="C108" i="11"/>
  <c r="C106" i="11"/>
  <c r="E97" i="10"/>
  <c r="E105" i="10"/>
  <c r="E99" i="10"/>
  <c r="E100" i="10"/>
  <c r="E98" i="10"/>
  <c r="E99" i="26"/>
  <c r="E97" i="26"/>
  <c r="E100" i="26"/>
  <c r="E98" i="26"/>
  <c r="E98" i="6"/>
  <c r="E99" i="6"/>
  <c r="E97" i="6"/>
  <c r="E100" i="6"/>
  <c r="E99" i="7"/>
  <c r="E100" i="7"/>
  <c r="E97" i="7"/>
  <c r="E98" i="7"/>
  <c r="E99" i="25"/>
  <c r="E97" i="25"/>
  <c r="E100" i="25"/>
  <c r="E98" i="25"/>
  <c r="E98" i="12"/>
  <c r="E99" i="12"/>
  <c r="E97" i="12"/>
  <c r="E100" i="12"/>
  <c r="E98" i="5"/>
  <c r="E99" i="5"/>
  <c r="E100" i="5"/>
  <c r="E97" i="5"/>
  <c r="E97" i="9"/>
  <c r="E98" i="9"/>
  <c r="E100" i="9"/>
  <c r="E99" i="9"/>
  <c r="E99" i="8"/>
  <c r="E100" i="8"/>
  <c r="E97" i="8"/>
  <c r="E98" i="8"/>
  <c r="E105" i="12"/>
  <c r="E105" i="6"/>
  <c r="E105" i="26"/>
  <c r="E105" i="7"/>
  <c r="E105" i="8"/>
  <c r="E105" i="9"/>
  <c r="E97" i="11"/>
  <c r="E100" i="11"/>
  <c r="E98" i="11"/>
  <c r="E99" i="11"/>
  <c r="E105" i="5"/>
  <c r="E105" i="25"/>
  <c r="E105" i="11"/>
  <c r="BK59" i="1"/>
  <c r="BH59" i="1"/>
  <c r="BJ59" i="1"/>
  <c r="AZ59" i="1"/>
  <c r="AW59" i="1"/>
  <c r="AX59" i="1"/>
  <c r="AV56" i="1"/>
  <c r="AU65" i="1"/>
  <c r="AU67" i="1"/>
  <c r="AU69" i="1"/>
  <c r="AU71" i="1"/>
  <c r="AU73" i="1"/>
  <c r="AU75" i="1"/>
  <c r="AU77" i="1"/>
  <c r="AU79" i="1"/>
  <c r="AU81" i="1"/>
  <c r="AU83" i="1"/>
  <c r="AU85" i="1"/>
  <c r="AU87" i="1"/>
  <c r="AU88" i="1"/>
  <c r="AU89" i="1"/>
  <c r="AU90" i="1"/>
  <c r="AU91" i="1"/>
  <c r="AU92" i="1"/>
  <c r="AU93" i="1"/>
  <c r="AU94" i="1"/>
  <c r="AU95" i="1"/>
  <c r="AU96" i="1"/>
  <c r="AU97" i="1"/>
  <c r="AU66" i="1"/>
  <c r="AU68" i="1"/>
  <c r="AU70" i="1"/>
  <c r="AU72" i="1"/>
  <c r="AU74" i="1"/>
  <c r="AU76" i="1"/>
  <c r="AU78" i="1"/>
  <c r="AU80" i="1"/>
  <c r="AU82" i="1"/>
  <c r="AU84" i="1"/>
  <c r="AU86" i="1"/>
  <c r="AW50" i="1"/>
  <c r="AV50" i="1"/>
  <c r="N54" i="1"/>
  <c r="BI50" i="1"/>
  <c r="BC202" i="1"/>
  <c r="AY202" i="1"/>
  <c r="BC178" i="1"/>
  <c r="AY178" i="1"/>
  <c r="BB121" i="1"/>
  <c r="BC51" i="1"/>
  <c r="AY51" i="1"/>
  <c r="BB102" i="1"/>
  <c r="BC131" i="1"/>
  <c r="AY131" i="1"/>
  <c r="BC101" i="1"/>
  <c r="AY101" i="1"/>
  <c r="BC47" i="1"/>
  <c r="AY47" i="1"/>
  <c r="AX233" i="1"/>
  <c r="BB79" i="1"/>
  <c r="AW230" i="1"/>
  <c r="AX230" i="1"/>
  <c r="BM228" i="1"/>
  <c r="AV192" i="1"/>
  <c r="AX192" i="1"/>
  <c r="AV133" i="1"/>
  <c r="AX133" i="1"/>
  <c r="BK133" i="1"/>
  <c r="BM133" i="1"/>
  <c r="BJ126" i="1"/>
  <c r="AX124" i="1"/>
  <c r="BA117" i="1"/>
  <c r="BC117" i="1"/>
  <c r="AY117" i="1"/>
  <c r="BJ95" i="1"/>
  <c r="BK85" i="1"/>
  <c r="AV85" i="1"/>
  <c r="AX85" i="1"/>
  <c r="AW10" i="1"/>
  <c r="AV10" i="1"/>
  <c r="BC127" i="1"/>
  <c r="AY127" i="1"/>
  <c r="BC226" i="1"/>
  <c r="AY226" i="1"/>
  <c r="BB229" i="1"/>
  <c r="BB201" i="1"/>
  <c r="BC120" i="1"/>
  <c r="AY120" i="1"/>
  <c r="BB62" i="1"/>
  <c r="BB149" i="1"/>
  <c r="AX179" i="1"/>
  <c r="BC75" i="1"/>
  <c r="AY75" i="1"/>
  <c r="BK200" i="1"/>
  <c r="BM200" i="1"/>
  <c r="BI53" i="1"/>
  <c r="BJ53" i="1"/>
  <c r="BK53" i="1"/>
  <c r="AW53" i="1"/>
  <c r="AV53" i="1"/>
  <c r="AX53" i="1"/>
  <c r="AZ53" i="1"/>
  <c r="AW51" i="1"/>
  <c r="BB221" i="1"/>
  <c r="BC66" i="1"/>
  <c r="AY66" i="1"/>
  <c r="BB87" i="1"/>
  <c r="BB163" i="1"/>
  <c r="BB132" i="1"/>
  <c r="BA94" i="1"/>
  <c r="BK188" i="1"/>
  <c r="BM188" i="1"/>
  <c r="BK229" i="1" a="1"/>
  <c r="BK229" i="1"/>
  <c r="BM229" i="1"/>
  <c r="BK201" i="1"/>
  <c r="BM201" i="1"/>
  <c r="AZ201" i="1"/>
  <c r="AW201" i="1"/>
  <c r="AV201" i="1"/>
  <c r="AZ163" i="1"/>
  <c r="AV163" i="1"/>
  <c r="AX163" i="1"/>
  <c r="AW163" i="1"/>
  <c r="AV151" i="1"/>
  <c r="AX151" i="1"/>
  <c r="BK151" i="1"/>
  <c r="BM151" i="1"/>
  <c r="BM162" i="1"/>
  <c r="BK86" i="1"/>
  <c r="AZ61" i="1"/>
  <c r="BK61" i="1"/>
  <c r="AW56" i="1"/>
  <c r="AX56" i="1"/>
  <c r="BK51" i="1"/>
  <c r="BC105" i="1"/>
  <c r="AY105" i="1"/>
  <c r="BB185" i="1"/>
  <c r="BB151" i="1"/>
  <c r="BB50" i="1"/>
  <c r="BC50" i="1"/>
  <c r="AY50" i="1"/>
  <c r="AV202" i="1"/>
  <c r="AX202" i="1"/>
  <c r="BK202" i="1"/>
  <c r="BM202" i="1"/>
  <c r="AV193" i="1"/>
  <c r="AX193" i="1"/>
  <c r="AW144" i="1"/>
  <c r="AZ144" i="1"/>
  <c r="BK144" i="1"/>
  <c r="BM144" i="1"/>
  <c r="AV144" i="1"/>
  <c r="AV108" i="1"/>
  <c r="AX108" i="1"/>
  <c r="BK98" i="1"/>
  <c r="BM98" i="1"/>
  <c r="AV98" i="1"/>
  <c r="AX98" i="1"/>
  <c r="BC198" i="1"/>
  <c r="AY198" i="1"/>
  <c r="BC213" i="1"/>
  <c r="AY213" i="1"/>
  <c r="BC234" i="1"/>
  <c r="AY234" i="1"/>
  <c r="BC78" i="1"/>
  <c r="AY78" i="1"/>
  <c r="AZ229" i="1"/>
  <c r="AV116" i="1"/>
  <c r="AX116" i="1"/>
  <c r="AZ50" i="1"/>
  <c r="AV152" i="1"/>
  <c r="AX152" i="1"/>
  <c r="BM143" i="1"/>
  <c r="AV45" i="1"/>
  <c r="AW45" i="1"/>
  <c r="BB49" i="1"/>
  <c r="BC201" i="1"/>
  <c r="AY201" i="1"/>
  <c r="BC170" i="1"/>
  <c r="AY170" i="1"/>
  <c r="BC171" i="1"/>
  <c r="AY171" i="1"/>
  <c r="BB139" i="1"/>
  <c r="AX57" i="1"/>
  <c r="AV203" i="1"/>
  <c r="AX203" i="1"/>
  <c r="AV186" i="1"/>
  <c r="AX186" i="1"/>
  <c r="AZ186" i="1"/>
  <c r="BJ175" i="1"/>
  <c r="BJ89" i="1"/>
  <c r="AV66" i="1"/>
  <c r="AX66" i="1"/>
  <c r="BK66" i="1"/>
  <c r="BA56" i="1"/>
  <c r="BC147" i="1"/>
  <c r="AY147" i="1"/>
  <c r="AV80" i="1"/>
  <c r="AX80" i="1"/>
  <c r="AV229" i="1"/>
  <c r="AX229" i="1"/>
  <c r="AV195" i="1"/>
  <c r="AX195" i="1"/>
  <c r="BK195" i="1"/>
  <c r="BM195" i="1"/>
  <c r="AX118" i="1"/>
  <c r="BB228" i="1"/>
  <c r="AX209" i="1"/>
  <c r="BK50" i="1"/>
  <c r="AX129" i="1"/>
  <c r="AX117" i="1"/>
  <c r="BM239" i="1"/>
  <c r="BM237" i="1"/>
  <c r="AV228" i="1"/>
  <c r="AX228" i="1"/>
  <c r="BK123" i="1"/>
  <c r="BM123" i="1"/>
  <c r="AW49" i="1"/>
  <c r="AX49" i="1"/>
  <c r="AZ49" i="1"/>
  <c r="BI49" i="1"/>
  <c r="BJ49" i="1"/>
  <c r="AV46" i="1"/>
  <c r="AX46" i="1"/>
  <c r="AW46" i="1"/>
  <c r="BC140" i="1"/>
  <c r="AY140" i="1"/>
  <c r="BC210" i="1"/>
  <c r="AY210" i="1"/>
  <c r="BC191" i="1"/>
  <c r="AY191" i="1"/>
  <c r="BC183" i="1"/>
  <c r="AY183" i="1"/>
  <c r="BC175" i="1"/>
  <c r="AY175" i="1"/>
  <c r="BC223" i="1"/>
  <c r="AY223" i="1"/>
  <c r="BB111" i="1"/>
  <c r="AX134" i="1"/>
  <c r="BC63" i="1"/>
  <c r="AY63" i="1"/>
  <c r="BC69" i="1"/>
  <c r="AY69" i="1"/>
  <c r="BM238" i="1"/>
  <c r="AV158" i="1"/>
  <c r="AX158" i="1"/>
  <c r="BK158" i="1"/>
  <c r="BM158" i="1"/>
  <c r="AV130" i="1"/>
  <c r="AX130" i="1"/>
  <c r="AZ130" i="1"/>
  <c r="BK105" i="1"/>
  <c r="BM105" i="1"/>
  <c r="AV105" i="1"/>
  <c r="AX105" i="1"/>
  <c r="AV5" i="1"/>
  <c r="AW5" i="1"/>
  <c r="BC118" i="1"/>
  <c r="AY118" i="1"/>
  <c r="AX51" i="1"/>
  <c r="BJ160" i="1"/>
  <c r="AW150" i="1"/>
  <c r="AV150" i="1"/>
  <c r="AX150" i="1"/>
  <c r="BJ82" i="1"/>
  <c r="BK67" i="1"/>
  <c r="AV67" i="1"/>
  <c r="AX67" i="1"/>
  <c r="BA59" i="1"/>
  <c r="BK58" i="1"/>
  <c r="BH50" i="1"/>
  <c r="BA46" i="1"/>
  <c r="BE65" i="1"/>
  <c r="BE83" i="1"/>
  <c r="BE73" i="1"/>
  <c r="BE61" i="1"/>
  <c r="BE46" i="1"/>
  <c r="BB46" i="1"/>
  <c r="BE71" i="1"/>
  <c r="BE81" i="1"/>
  <c r="BE60" i="1"/>
  <c r="BE67" i="1"/>
  <c r="BE92" i="1"/>
  <c r="BE109" i="1"/>
  <c r="BE110" i="1"/>
  <c r="BE162" i="1"/>
  <c r="BE56" i="1"/>
  <c r="BB56" i="1"/>
  <c r="BE77" i="1"/>
  <c r="BE48" i="1"/>
  <c r="AW170" i="1"/>
  <c r="AX170" i="1"/>
  <c r="BK205" i="1"/>
  <c r="BM205" i="1"/>
  <c r="AV125" i="1"/>
  <c r="AX125" i="1"/>
  <c r="BC92" i="1"/>
  <c r="AY92" i="1"/>
  <c r="BB92" i="1"/>
  <c r="BC46" i="1"/>
  <c r="AY46" i="1"/>
  <c r="BJ50" i="1"/>
  <c r="BC109" i="1"/>
  <c r="AY109" i="1"/>
  <c r="BB109" i="1"/>
  <c r="BH54" i="1"/>
  <c r="AW54" i="1"/>
  <c r="AZ54" i="1"/>
  <c r="AV54" i="1"/>
  <c r="AX54" i="1"/>
  <c r="BI54" i="1"/>
  <c r="BK54" i="1"/>
  <c r="BC81" i="1"/>
  <c r="AY81" i="1"/>
  <c r="BB81" i="1"/>
  <c r="BC56" i="1"/>
  <c r="AY56" i="1"/>
  <c r="AX50" i="1"/>
  <c r="BC60" i="1"/>
  <c r="AY60" i="1"/>
  <c r="BB60" i="1"/>
  <c r="BB110" i="1"/>
  <c r="BC110" i="1"/>
  <c r="AY110" i="1"/>
  <c r="BC67" i="1"/>
  <c r="AY67" i="1"/>
  <c r="BB67" i="1"/>
  <c r="BB71" i="1"/>
  <c r="BC71" i="1"/>
  <c r="AY71" i="1"/>
  <c r="BB48" i="1"/>
  <c r="BC48" i="1"/>
  <c r="AY48" i="1"/>
  <c r="BC61" i="1"/>
  <c r="AY61" i="1"/>
  <c r="BB61" i="1"/>
  <c r="AX201" i="1"/>
  <c r="N55" i="1"/>
  <c r="BC77" i="1"/>
  <c r="AY77" i="1"/>
  <c r="BB77" i="1"/>
  <c r="BC73" i="1"/>
  <c r="AY73" i="1"/>
  <c r="BB73" i="1"/>
  <c r="AX144" i="1"/>
  <c r="BB83" i="1"/>
  <c r="BC83" i="1"/>
  <c r="AY83" i="1"/>
  <c r="BB162" i="1"/>
  <c r="BC162" i="1"/>
  <c r="AY162" i="1"/>
  <c r="BC65" i="1"/>
  <c r="AY65" i="1"/>
  <c r="BB65" i="1"/>
  <c r="AZ55" i="1"/>
  <c r="BH55" i="1"/>
  <c r="AW55" i="1"/>
  <c r="AV55" i="1"/>
  <c r="BK55" i="1"/>
  <c r="BI55" i="1"/>
  <c r="BJ54" i="1"/>
  <c r="BJ55" i="1"/>
  <c r="AX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Poseletso P. Sebake</author>
    <author>Semetsa S. Thobejane</author>
    <author>Agnes Matlou</author>
  </authors>
  <commentList>
    <comment ref="H174" authorId="0" shapeId="0" xr:uid="{123D1E8A-64F4-4BF3-A463-E6FDAB0DED4C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Same as previous month due to reading errors of the plant meter readings, hence we assumed same consumption of domestic as the previous month. 
</t>
        </r>
      </text>
    </comment>
    <comment ref="I174" authorId="0" shapeId="0" xr:uid="{48256F06-690A-4985-B7BF-DC13DB30035A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same as borehole 1</t>
        </r>
      </text>
    </comment>
    <comment ref="I177" authorId="0" shapeId="0" xr:uid="{201D88A5-0293-49A5-A739-166B34630EB3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avartage estimage as the flowmeter was not working. </t>
        </r>
      </text>
    </comment>
    <comment ref="M202" authorId="1" shapeId="0" xr:uid="{F5EF3FA3-A53D-4D55-B1BF-13E7B52668D2}">
      <text>
        <r>
          <rPr>
            <b/>
            <sz val="9"/>
            <color indexed="81"/>
            <rFont val="Tahoma"/>
            <family val="2"/>
          </rPr>
          <t>Water not abstracted for the June Month</t>
        </r>
      </text>
    </comment>
    <comment ref="AT223" authorId="0" shapeId="0" xr:uid="{F33350EA-91EB-4073-9B51-6246DE2924A5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4" authorId="0" shapeId="0" xr:uid="{0B804E96-1A41-450E-B833-958095DC5961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5" authorId="0" shapeId="0" xr:uid="{FE2AF2DD-6EC4-49BF-8DD2-4D9FF2363BBD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6" authorId="0" shapeId="0" xr:uid="{FF991EDF-D18A-4C23-AB84-153F48EEFE35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8" authorId="2" shapeId="0" xr:uid="{DD5DDEAB-F31C-4B31-980B-9F716ACF307B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M229" authorId="2" shapeId="0" xr:uid="{162953D4-E67D-4DBE-88AF-8AF067BA1E37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merensky plant</t>
        </r>
      </text>
    </comment>
    <comment ref="N229" authorId="2" shapeId="0" xr:uid="{20DADC07-F573-4229-B067-8914A1340E14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merensky plant</t>
        </r>
      </text>
    </comment>
    <comment ref="U229" authorId="0" shapeId="0" xr:uid="{6554B068-C0B0-49C9-93BE-85D7B1D3C527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malfunction of a flow-metre. </t>
        </r>
      </text>
    </comment>
    <comment ref="AO229" authorId="2" shapeId="0" xr:uid="{4A346E31-E3AA-42DC-A24B-5F7E2123110B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the merensky plant</t>
        </r>
      </text>
    </comment>
    <comment ref="AT229" authorId="2" shapeId="0" xr:uid="{A14D28E8-1FB7-4C6E-BD45-91E794F43429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AT230" authorId="2" shapeId="0" xr:uid="{B9C45A02-8970-4EAD-95E4-9D5A972943F0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AT231" authorId="2" shapeId="0" xr:uid="{7AA0CE2A-29E5-48FB-8047-9358D9A03975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</commentList>
</comments>
</file>

<file path=xl/sharedStrings.xml><?xml version="1.0" encoding="utf-8"?>
<sst xmlns="http://schemas.openxmlformats.org/spreadsheetml/2006/main" count="1600" uniqueCount="155">
  <si>
    <t>Main Decline</t>
  </si>
  <si>
    <t>Tonnes Milled</t>
  </si>
  <si>
    <t xml:space="preserve"> Plant Borehole Water Use</t>
  </si>
  <si>
    <t>Groot Dwars River</t>
  </si>
  <si>
    <t>Klein Dwars River</t>
  </si>
  <si>
    <t>Water to Portal(Main)</t>
  </si>
  <si>
    <t>Mined tons  (dry)</t>
  </si>
  <si>
    <t xml:space="preserve">tons </t>
  </si>
  <si>
    <t>tons</t>
  </si>
  <si>
    <t>%</t>
  </si>
  <si>
    <t>m3</t>
  </si>
  <si>
    <t>Actual</t>
  </si>
  <si>
    <t>TWO RIVERS PLATINUM CONCENTRATOR</t>
  </si>
  <si>
    <t xml:space="preserve"> WATER BALANCE</t>
  </si>
  <si>
    <t>WATER INPUT</t>
  </si>
  <si>
    <t>WATER OUTPUT</t>
  </si>
  <si>
    <t>m3/month</t>
  </si>
  <si>
    <t>mined tons</t>
  </si>
  <si>
    <t>Eavopration/Seepage</t>
  </si>
  <si>
    <t>dry tons</t>
  </si>
  <si>
    <t>total</t>
  </si>
  <si>
    <t>var (underground)</t>
  </si>
  <si>
    <t>DATE</t>
  </si>
  <si>
    <t>North Decline</t>
  </si>
  <si>
    <t>Metered</t>
  </si>
  <si>
    <t>Calculated</t>
  </si>
  <si>
    <t>Percentage total</t>
  </si>
  <si>
    <t>WATER IN</t>
  </si>
  <si>
    <t>WATER  OUT</t>
  </si>
  <si>
    <t>WATER OUT</t>
  </si>
  <si>
    <t>Moisture from Milled tons</t>
  </si>
  <si>
    <t>Concentrate Wet tons</t>
  </si>
  <si>
    <t>t</t>
  </si>
  <si>
    <t>From Plant</t>
  </si>
  <si>
    <t>In ore</t>
  </si>
  <si>
    <t>Groot Dwars</t>
  </si>
  <si>
    <t>Concentrate moisture %</t>
  </si>
  <si>
    <t>Borehole water</t>
  </si>
  <si>
    <t>Dry tons</t>
  </si>
  <si>
    <t>Klein Dwars</t>
  </si>
  <si>
    <t>Water in concentrate</t>
  </si>
  <si>
    <t>Water to Portal</t>
  </si>
  <si>
    <t>Wet tons</t>
  </si>
  <si>
    <t>Losses (Spillage)</t>
  </si>
  <si>
    <t>Moisture</t>
  </si>
  <si>
    <t>Return water</t>
  </si>
  <si>
    <t>Evaporation rate</t>
  </si>
  <si>
    <t>m/year</t>
  </si>
  <si>
    <t>Evaporation</t>
  </si>
  <si>
    <t>Diameter (Conc thickener)</t>
  </si>
  <si>
    <t>m</t>
  </si>
  <si>
    <t>Process dams</t>
  </si>
  <si>
    <t>Surface area</t>
  </si>
  <si>
    <t>m2</t>
  </si>
  <si>
    <t>2 Large (100 by 50)</t>
  </si>
  <si>
    <t xml:space="preserve"> Large (100 by 50)</t>
  </si>
  <si>
    <t>Total</t>
  </si>
  <si>
    <t>Evaporation loss</t>
  </si>
  <si>
    <t>2 Small (50 by 50)</t>
  </si>
  <si>
    <t xml:space="preserve"> Small (60 by 30)</t>
  </si>
  <si>
    <t>GRAND TOTAL</t>
  </si>
  <si>
    <t>Total evap loss(3 thickeners</t>
  </si>
  <si>
    <t>Diameter (Tailings thickener)</t>
  </si>
  <si>
    <t>Total evaporation loss</t>
  </si>
  <si>
    <t>Dust control/Seepage</t>
  </si>
  <si>
    <t>Dry tonnes milled</t>
  </si>
  <si>
    <t>Tanker fill volume</t>
  </si>
  <si>
    <t>Ore moisture %</t>
  </si>
  <si>
    <t>No of trips</t>
  </si>
  <si>
    <t>month</t>
  </si>
  <si>
    <t>Tailings slurry S.g</t>
  </si>
  <si>
    <t>% Solids in tailings</t>
  </si>
  <si>
    <t>Water to solid ratio</t>
  </si>
  <si>
    <t>Total water to tailings</t>
  </si>
  <si>
    <t>Stockpile loss</t>
  </si>
  <si>
    <t xml:space="preserve"> TWO RIVERS PLATINUM CONCENTRATOR WATER BALANCE</t>
  </si>
  <si>
    <t xml:space="preserve">Diff bet the mined and milled </t>
  </si>
  <si>
    <r>
      <t>m</t>
    </r>
    <r>
      <rPr>
        <vertAlign val="superscript"/>
        <sz val="9"/>
        <rFont val="Arial"/>
        <family val="2"/>
      </rPr>
      <t>3</t>
    </r>
  </si>
  <si>
    <t>Tailings RD</t>
  </si>
  <si>
    <t>abstracted month</t>
  </si>
  <si>
    <t>abstracted day</t>
  </si>
  <si>
    <t>abstacted excl BH &amp;Plant</t>
  </si>
  <si>
    <t>total abstracted from underground</t>
  </si>
  <si>
    <t>2 Large (100 by 49)</t>
  </si>
  <si>
    <t xml:space="preserve"> Large (100 by 49)</t>
  </si>
  <si>
    <t>2 Small (49 by 49)</t>
  </si>
  <si>
    <t>2 Large (100 by 48)</t>
  </si>
  <si>
    <t xml:space="preserve"> Large (100 by 48)</t>
  </si>
  <si>
    <t>2 Small (48 by 48)</t>
  </si>
  <si>
    <t>2 Large (100 by 47)</t>
  </si>
  <si>
    <t xml:space="preserve"> Large (100 by 47)</t>
  </si>
  <si>
    <t>2 Small (47 by 47)</t>
  </si>
  <si>
    <t>2 Large (100 by 46)</t>
  </si>
  <si>
    <t xml:space="preserve"> Large (100 by 46)</t>
  </si>
  <si>
    <t>2 Small (46 by 46)</t>
  </si>
  <si>
    <t>heavy rains</t>
  </si>
  <si>
    <t>Consumption</t>
  </si>
  <si>
    <t>Plant</t>
  </si>
  <si>
    <t>Overall</t>
  </si>
  <si>
    <t>m3/t</t>
  </si>
  <si>
    <t>Target</t>
  </si>
  <si>
    <t>Minning</t>
  </si>
  <si>
    <t>Main decline dewatering</t>
  </si>
  <si>
    <t>North decline dewatering</t>
  </si>
  <si>
    <t>Monthly Ave Allocation</t>
  </si>
  <si>
    <t>Overall(incl Return Water)</t>
  </si>
  <si>
    <t>RWD</t>
  </si>
  <si>
    <t>MD BHs sum</t>
  </si>
  <si>
    <t>ND BHs sum</t>
  </si>
  <si>
    <t>MD</t>
  </si>
  <si>
    <t>ND</t>
  </si>
  <si>
    <t>River Water usage</t>
  </si>
  <si>
    <t>PGM Concentrate Wet tons dispatched</t>
  </si>
  <si>
    <t xml:space="preserve">PGM Concentrate Moisture </t>
  </si>
  <si>
    <t>Chromite Concentrate Wet tons dispatched</t>
  </si>
  <si>
    <t xml:space="preserve">Chromite Concentrate Moisture </t>
  </si>
  <si>
    <t>MDGWA 1</t>
  </si>
  <si>
    <t xml:space="preserve">MDGWA 2 </t>
  </si>
  <si>
    <t>MDGWA 3</t>
  </si>
  <si>
    <t>MDGWA 4</t>
  </si>
  <si>
    <t>MDGWA 5</t>
  </si>
  <si>
    <t>NDGWA 1</t>
  </si>
  <si>
    <t>NDGWA 2</t>
  </si>
  <si>
    <t>NDGWA 3</t>
  </si>
  <si>
    <t>NDGWA 4</t>
  </si>
  <si>
    <t>NDGWA 5</t>
  </si>
  <si>
    <t>CPGWA 1</t>
  </si>
  <si>
    <t>CPGWA 2</t>
  </si>
  <si>
    <t>NDGWA 6</t>
  </si>
  <si>
    <t>Total Water Consumption</t>
  </si>
  <si>
    <t>Total Recycled Water</t>
  </si>
  <si>
    <t>%Recycled</t>
  </si>
  <si>
    <t>Rivers</t>
  </si>
  <si>
    <t>bholes</t>
  </si>
  <si>
    <t>dewatering</t>
  </si>
  <si>
    <t>Plant to North</t>
  </si>
  <si>
    <t xml:space="preserve">                                                                                                                                                                           </t>
  </si>
  <si>
    <t>MERGWA 1</t>
  </si>
  <si>
    <t>Merensky Tons Dry</t>
  </si>
  <si>
    <t>Merensky Shaft</t>
  </si>
  <si>
    <r>
      <t>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/t</t>
    </r>
  </si>
  <si>
    <t>Merensky dewatering</t>
  </si>
  <si>
    <t>CPGWA 3</t>
  </si>
  <si>
    <t xml:space="preserve">MER BHs sum </t>
  </si>
  <si>
    <t>NTSFGWA 1</t>
  </si>
  <si>
    <t>MERGWA 2</t>
  </si>
  <si>
    <t>NTSFGWA 2</t>
  </si>
  <si>
    <t xml:space="preserve">Concentrator Plant </t>
  </si>
  <si>
    <t xml:space="preserve">Concentrator Plant Boreholes </t>
  </si>
  <si>
    <t xml:space="preserve">Rivers </t>
  </si>
  <si>
    <t xml:space="preserve">Main Decline Boreholes  </t>
  </si>
  <si>
    <t>North Decline Boreholes</t>
  </si>
  <si>
    <t xml:space="preserve">Return Water Dams </t>
  </si>
  <si>
    <t xml:space="preserve">Tailings Density </t>
  </si>
  <si>
    <t xml:space="preserve">Underground dewatering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</si>
</sst>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R&quot;#,##0.00;\-&quot;R&quot;#,##0.00"/>
    <numFmt numFmtId="43" formatCode="_-* #,##0.00_-;\-* #,##0.00_-;_-* &quot;-&quot;??_-;_-@_-"/>
    <numFmt numFmtId="171" formatCode="_(* #,##0.00_);_(* \(#,##0.00\);_(* &quot;-&quot;??_);_(@_)"/>
    <numFmt numFmtId="183" formatCode="_ * #,##0_ ;_ * \-#,##0_ ;_ * &quot;-&quot;_ ;_ @_ "/>
    <numFmt numFmtId="185" formatCode="_ * #,##0.00_ ;_ * \-#,##0.00_ ;_ * &quot;-&quot;??_ ;_ @_ "/>
    <numFmt numFmtId="186" formatCode="General_)"/>
    <numFmt numFmtId="187" formatCode="0.0"/>
    <numFmt numFmtId="188" formatCode="0.000"/>
    <numFmt numFmtId="189" formatCode="0.0000"/>
    <numFmt numFmtId="190" formatCode="_(* #,##0_);_(* \(#,##0\);_(* &quot;-&quot;??_);_(@_)"/>
    <numFmt numFmtId="191" formatCode="mmmm\-yyyy"/>
    <numFmt numFmtId="192" formatCode="mmm\-yyyy"/>
    <numFmt numFmtId="193" formatCode="[$-409]mmm\-yy;@"/>
    <numFmt numFmtId="194" formatCode="&quot;R&quot;\ #,##0"/>
    <numFmt numFmtId="195" formatCode="_(* #,##0.000_);_(* \(#,##0.000\);_(* &quot;-&quot;??_);_(@_)"/>
    <numFmt numFmtId="196" formatCode="0.000%"/>
  </numFmts>
  <fonts count="49" x14ac:knownFonts="1">
    <font>
      <sz val="10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i/>
      <u/>
      <sz val="10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sz val="8"/>
      <color indexed="8"/>
      <name val="Times New Roman"/>
      <family val="1"/>
    </font>
    <font>
      <b/>
      <sz val="10"/>
      <name val="Helv"/>
    </font>
    <font>
      <b/>
      <u/>
      <sz val="10"/>
      <name val="Helv"/>
    </font>
    <font>
      <sz val="10"/>
      <color indexed="12"/>
      <name val="Helv"/>
    </font>
    <font>
      <b/>
      <sz val="10"/>
      <color indexed="12"/>
      <name val="Helv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7"/>
      <name val="Times New Roman"/>
      <family val="1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rgb="FFC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1">
    <xf numFmtId="186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4" fillId="2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71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>
      <alignment vertical="top"/>
    </xf>
    <xf numFmtId="7" fontId="15" fillId="0" borderId="0"/>
    <xf numFmtId="0" fontId="44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93">
    <xf numFmtId="186" fontId="0" fillId="0" borderId="0" xfId="0"/>
    <xf numFmtId="186" fontId="20" fillId="0" borderId="0" xfId="0" applyFont="1"/>
    <xf numFmtId="2" fontId="20" fillId="0" borderId="10" xfId="0" applyNumberFormat="1" applyFont="1" applyBorder="1" applyAlignment="1">
      <alignment horizontal="center" wrapText="1"/>
    </xf>
    <xf numFmtId="2" fontId="20" fillId="0" borderId="0" xfId="0" applyNumberFormat="1" applyFont="1" applyAlignment="1">
      <alignment wrapText="1"/>
    </xf>
    <xf numFmtId="186" fontId="20" fillId="0" borderId="10" xfId="0" applyFont="1" applyBorder="1" applyAlignment="1"/>
    <xf numFmtId="3" fontId="20" fillId="0" borderId="10" xfId="0" applyNumberFormat="1" applyFont="1" applyBorder="1" applyAlignment="1"/>
    <xf numFmtId="1" fontId="20" fillId="0" borderId="10" xfId="0" applyNumberFormat="1" applyFont="1" applyBorder="1" applyAlignment="1"/>
    <xf numFmtId="190" fontId="20" fillId="0" borderId="10" xfId="29" applyNumberFormat="1" applyFont="1" applyBorder="1" applyAlignment="1"/>
    <xf numFmtId="3" fontId="20" fillId="0" borderId="10" xfId="29" applyNumberFormat="1" applyFont="1" applyBorder="1" applyAlignment="1"/>
    <xf numFmtId="190" fontId="20" fillId="0" borderId="10" xfId="29" applyNumberFormat="1" applyFont="1" applyBorder="1" applyAlignment="1">
      <alignment horizontal="right"/>
    </xf>
    <xf numFmtId="3" fontId="20" fillId="0" borderId="10" xfId="29" applyNumberFormat="1" applyFont="1" applyBorder="1" applyAlignment="1">
      <alignment horizontal="right"/>
    </xf>
    <xf numFmtId="186" fontId="20" fillId="0" borderId="10" xfId="0" applyFont="1" applyBorder="1" applyAlignment="1">
      <alignment horizontal="right"/>
    </xf>
    <xf numFmtId="3" fontId="20" fillId="0" borderId="10" xfId="0" applyNumberFormat="1" applyFont="1" applyBorder="1" applyAlignment="1">
      <alignment horizontal="right"/>
    </xf>
    <xf numFmtId="186" fontId="20" fillId="24" borderId="0" xfId="0" applyFont="1" applyFill="1"/>
    <xf numFmtId="186" fontId="20" fillId="0" borderId="10" xfId="0" applyFont="1" applyBorder="1"/>
    <xf numFmtId="3" fontId="20" fillId="0" borderId="10" xfId="0" applyNumberFormat="1" applyFont="1" applyBorder="1"/>
    <xf numFmtId="1" fontId="22" fillId="0" borderId="0" xfId="0" applyNumberFormat="1" applyFont="1"/>
    <xf numFmtId="1" fontId="23" fillId="0" borderId="0" xfId="0" applyNumberFormat="1" applyFont="1"/>
    <xf numFmtId="1" fontId="24" fillId="0" borderId="0" xfId="0" applyNumberFormat="1" applyFont="1"/>
    <xf numFmtId="17" fontId="24" fillId="0" borderId="0" xfId="0" applyNumberFormat="1" applyFont="1"/>
    <xf numFmtId="9" fontId="22" fillId="0" borderId="0" xfId="0" applyNumberFormat="1" applyFont="1"/>
    <xf numFmtId="191" fontId="22" fillId="0" borderId="0" xfId="0" applyNumberFormat="1" applyFont="1"/>
    <xf numFmtId="1" fontId="22" fillId="0" borderId="11" xfId="0" applyNumberFormat="1" applyFont="1" applyBorder="1"/>
    <xf numFmtId="1" fontId="22" fillId="0" borderId="12" xfId="0" applyNumberFormat="1" applyFont="1" applyBorder="1"/>
    <xf numFmtId="1" fontId="22" fillId="0" borderId="13" xfId="0" applyNumberFormat="1" applyFont="1" applyBorder="1"/>
    <xf numFmtId="1" fontId="25" fillId="0" borderId="13" xfId="0" applyNumberFormat="1" applyFont="1" applyBorder="1" applyAlignment="1">
      <alignment horizontal="centerContinuous"/>
    </xf>
    <xf numFmtId="1" fontId="22" fillId="0" borderId="0" xfId="0" applyNumberFormat="1" applyFont="1" applyBorder="1"/>
    <xf numFmtId="1" fontId="25" fillId="0" borderId="0" xfId="0" applyNumberFormat="1" applyFont="1" applyBorder="1" applyAlignment="1">
      <alignment horizontal="centerContinuous"/>
    </xf>
    <xf numFmtId="1" fontId="22" fillId="0" borderId="0" xfId="0" applyNumberFormat="1" applyFont="1" applyBorder="1" applyAlignment="1">
      <alignment horizontal="center"/>
    </xf>
    <xf numFmtId="187" fontId="22" fillId="0" borderId="0" xfId="0" applyNumberFormat="1" applyFont="1"/>
    <xf numFmtId="1" fontId="24" fillId="0" borderId="0" xfId="0" applyNumberFormat="1" applyFont="1" applyBorder="1" applyAlignment="1">
      <alignment horizontal="center"/>
    </xf>
    <xf numFmtId="1" fontId="22" fillId="0" borderId="0" xfId="0" applyNumberFormat="1" applyFont="1" applyFill="1" applyBorder="1"/>
    <xf numFmtId="186" fontId="0" fillId="0" borderId="0" xfId="0" applyBorder="1"/>
    <xf numFmtId="3" fontId="22" fillId="0" borderId="0" xfId="0" applyNumberFormat="1" applyFont="1" applyBorder="1"/>
    <xf numFmtId="3" fontId="22" fillId="0" borderId="13" xfId="0" applyNumberFormat="1" applyFont="1" applyBorder="1"/>
    <xf numFmtId="3" fontId="22" fillId="0" borderId="0" xfId="0" applyNumberFormat="1" applyFont="1" applyBorder="1" applyAlignment="1">
      <alignment horizontal="center"/>
    </xf>
    <xf numFmtId="1" fontId="22" fillId="0" borderId="0" xfId="0" applyNumberFormat="1" applyFont="1" applyFill="1"/>
    <xf numFmtId="3" fontId="22" fillId="0" borderId="0" xfId="0" applyNumberFormat="1" applyFont="1"/>
    <xf numFmtId="194" fontId="22" fillId="0" borderId="0" xfId="0" applyNumberFormat="1" applyFont="1" applyBorder="1" applyAlignment="1">
      <alignment horizontal="center"/>
    </xf>
    <xf numFmtId="1" fontId="26" fillId="0" borderId="0" xfId="0" applyNumberFormat="1" applyFont="1"/>
    <xf numFmtId="1" fontId="27" fillId="0" borderId="0" xfId="0" applyNumberFormat="1" applyFont="1"/>
    <xf numFmtId="186" fontId="28" fillId="0" borderId="0" xfId="0" applyFont="1" applyAlignment="1">
      <alignment horizontal="center" readingOrder="1"/>
    </xf>
    <xf numFmtId="189" fontId="26" fillId="0" borderId="0" xfId="0" applyNumberFormat="1" applyFont="1"/>
    <xf numFmtId="188" fontId="24" fillId="0" borderId="0" xfId="0" applyNumberFormat="1" applyFont="1" applyBorder="1" applyAlignment="1">
      <alignment horizontal="center"/>
    </xf>
    <xf numFmtId="1" fontId="22" fillId="0" borderId="14" xfId="0" applyNumberFormat="1" applyFont="1" applyBorder="1"/>
    <xf numFmtId="1" fontId="24" fillId="0" borderId="15" xfId="0" applyNumberFormat="1" applyFont="1" applyBorder="1" applyAlignment="1">
      <alignment horizontal="center"/>
    </xf>
    <xf numFmtId="1" fontId="22" fillId="0" borderId="15" xfId="0" applyNumberFormat="1" applyFont="1" applyBorder="1"/>
    <xf numFmtId="1" fontId="22" fillId="0" borderId="15" xfId="0" applyNumberFormat="1" applyFont="1" applyFill="1" applyBorder="1"/>
    <xf numFmtId="1" fontId="24" fillId="0" borderId="0" xfId="0" applyNumberFormat="1" applyFont="1" applyBorder="1"/>
    <xf numFmtId="1" fontId="22" fillId="0" borderId="16" xfId="0" applyNumberFormat="1" applyFont="1" applyBorder="1"/>
    <xf numFmtId="17" fontId="24" fillId="0" borderId="0" xfId="0" applyNumberFormat="1" applyFont="1" applyBorder="1" applyAlignment="1">
      <alignment horizontal="left"/>
    </xf>
    <xf numFmtId="186" fontId="0" fillId="0" borderId="12" xfId="0" applyBorder="1"/>
    <xf numFmtId="186" fontId="29" fillId="0" borderId="12" xfId="0" applyFont="1" applyBorder="1" applyAlignment="1">
      <alignment horizontal="center"/>
    </xf>
    <xf numFmtId="186" fontId="29" fillId="0" borderId="12" xfId="0" applyFont="1" applyBorder="1"/>
    <xf numFmtId="1" fontId="24" fillId="0" borderId="12" xfId="0" applyNumberFormat="1" applyFont="1" applyBorder="1"/>
    <xf numFmtId="1" fontId="22" fillId="0" borderId="12" xfId="0" applyNumberFormat="1" applyFont="1" applyFill="1" applyBorder="1"/>
    <xf numFmtId="1" fontId="24" fillId="0" borderId="12" xfId="0" applyNumberFormat="1" applyFont="1" applyBorder="1" applyAlignment="1">
      <alignment horizontal="center"/>
    </xf>
    <xf numFmtId="1" fontId="22" fillId="0" borderId="17" xfId="0" applyNumberFormat="1" applyFont="1" applyBorder="1"/>
    <xf numFmtId="186" fontId="30" fillId="0" borderId="0" xfId="0" applyFont="1" applyBorder="1"/>
    <xf numFmtId="193" fontId="29" fillId="0" borderId="0" xfId="0" applyNumberFormat="1" applyFont="1" applyBorder="1" applyAlignment="1">
      <alignment horizontal="center"/>
    </xf>
    <xf numFmtId="186" fontId="29" fillId="0" borderId="0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/>
    <xf numFmtId="10" fontId="0" fillId="0" borderId="0" xfId="0" applyNumberFormat="1" applyBorder="1"/>
    <xf numFmtId="3" fontId="31" fillId="0" borderId="0" xfId="0" applyNumberFormat="1" applyFont="1" applyBorder="1" applyAlignment="1">
      <alignment horizontal="center"/>
    </xf>
    <xf numFmtId="3" fontId="31" fillId="0" borderId="0" xfId="0" applyNumberFormat="1" applyFont="1" applyBorder="1" applyAlignment="1">
      <alignment horizontal="right"/>
    </xf>
    <xf numFmtId="3" fontId="31" fillId="0" borderId="0" xfId="0" applyNumberFormat="1" applyFont="1" applyFill="1" applyAlignment="1">
      <alignment horizontal="center"/>
    </xf>
    <xf numFmtId="10" fontId="29" fillId="0" borderId="0" xfId="0" applyNumberFormat="1" applyFont="1" applyBorder="1"/>
    <xf numFmtId="186" fontId="31" fillId="0" borderId="0" xfId="0" applyFont="1" applyBorder="1" applyAlignment="1">
      <alignment horizontal="center"/>
    </xf>
    <xf numFmtId="3" fontId="29" fillId="0" borderId="0" xfId="0" applyNumberFormat="1" applyFont="1" applyBorder="1" applyAlignment="1">
      <alignment horizontal="right"/>
    </xf>
    <xf numFmtId="3" fontId="15" fillId="0" borderId="0" xfId="0" applyNumberFormat="1" applyFont="1" applyBorder="1" applyAlignment="1">
      <alignment horizontal="left"/>
    </xf>
    <xf numFmtId="10" fontId="29" fillId="0" borderId="0" xfId="0" applyNumberFormat="1" applyFont="1" applyBorder="1" applyAlignment="1">
      <alignment horizontal="center"/>
    </xf>
    <xf numFmtId="3" fontId="31" fillId="0" borderId="0" xfId="0" applyNumberFormat="1" applyFont="1" applyFill="1" applyBorder="1" applyAlignment="1">
      <alignment horizontal="center"/>
    </xf>
    <xf numFmtId="3" fontId="32" fillId="0" borderId="0" xfId="0" applyNumberFormat="1" applyFont="1" applyFill="1" applyBorder="1" applyAlignment="1">
      <alignment horizontal="right"/>
    </xf>
    <xf numFmtId="10" fontId="32" fillId="0" borderId="0" xfId="0" applyNumberFormat="1" applyFont="1" applyBorder="1" applyAlignment="1">
      <alignment horizontal="center"/>
    </xf>
    <xf numFmtId="3" fontId="29" fillId="0" borderId="0" xfId="0" applyNumberFormat="1" applyFont="1" applyBorder="1" applyAlignment="1">
      <alignment horizontal="center"/>
    </xf>
    <xf numFmtId="1" fontId="24" fillId="0" borderId="0" xfId="0" applyNumberFormat="1" applyFont="1" applyBorder="1" applyAlignment="1">
      <alignment horizontal="right"/>
    </xf>
    <xf numFmtId="1" fontId="22" fillId="0" borderId="0" xfId="0" applyNumberFormat="1" applyFont="1" applyBorder="1" applyAlignment="1">
      <alignment horizontal="left"/>
    </xf>
    <xf numFmtId="10" fontId="24" fillId="0" borderId="0" xfId="0" applyNumberFormat="1" applyFont="1" applyBorder="1" applyAlignment="1">
      <alignment horizontal="center"/>
    </xf>
    <xf numFmtId="187" fontId="24" fillId="0" borderId="0" xfId="0" applyNumberFormat="1" applyFont="1" applyBorder="1" applyAlignment="1">
      <alignment horizontal="right"/>
    </xf>
    <xf numFmtId="187" fontId="22" fillId="0" borderId="0" xfId="0" applyNumberFormat="1" applyFont="1" applyBorder="1" applyAlignment="1">
      <alignment horizontal="left"/>
    </xf>
    <xf numFmtId="3" fontId="29" fillId="0" borderId="0" xfId="0" applyNumberFormat="1" applyFont="1" applyBorder="1"/>
    <xf numFmtId="10" fontId="22" fillId="0" borderId="0" xfId="0" applyNumberFormat="1" applyFont="1" applyBorder="1" applyAlignment="1">
      <alignment horizontal="center"/>
    </xf>
    <xf numFmtId="186" fontId="0" fillId="0" borderId="18" xfId="0" applyBorder="1"/>
    <xf numFmtId="3" fontId="0" fillId="0" borderId="18" xfId="0" applyNumberFormat="1" applyBorder="1"/>
    <xf numFmtId="186" fontId="29" fillId="0" borderId="0" xfId="0" applyFont="1" applyBorder="1"/>
    <xf numFmtId="10" fontId="0" fillId="0" borderId="0" xfId="0" applyNumberForma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9" fontId="24" fillId="0" borderId="0" xfId="47" applyFont="1" applyBorder="1" applyAlignment="1">
      <alignment horizontal="center"/>
    </xf>
    <xf numFmtId="10" fontId="33" fillId="0" borderId="0" xfId="0" applyNumberFormat="1" applyFont="1" applyBorder="1" applyAlignment="1">
      <alignment horizontal="center"/>
    </xf>
    <xf numFmtId="2" fontId="33" fillId="0" borderId="0" xfId="0" applyNumberFormat="1" applyFont="1" applyFill="1" applyBorder="1"/>
    <xf numFmtId="2" fontId="22" fillId="0" borderId="0" xfId="0" applyNumberFormat="1" applyFont="1" applyBorder="1"/>
    <xf numFmtId="1" fontId="22" fillId="0" borderId="18" xfId="0" applyNumberFormat="1" applyFont="1" applyFill="1" applyBorder="1"/>
    <xf numFmtId="3" fontId="29" fillId="0" borderId="18" xfId="0" applyNumberFormat="1" applyFont="1" applyBorder="1"/>
    <xf numFmtId="186" fontId="15" fillId="0" borderId="18" xfId="0" applyFont="1" applyBorder="1" applyAlignment="1">
      <alignment horizontal="left"/>
    </xf>
    <xf numFmtId="10" fontId="29" fillId="0" borderId="18" xfId="0" applyNumberFormat="1" applyFont="1" applyBorder="1" applyAlignment="1">
      <alignment horizontal="center"/>
    </xf>
    <xf numFmtId="1" fontId="24" fillId="0" borderId="0" xfId="0" applyNumberFormat="1" applyFont="1" applyFill="1" applyBorder="1" applyAlignment="1">
      <alignment horizontal="left"/>
    </xf>
    <xf numFmtId="1" fontId="34" fillId="0" borderId="0" xfId="0" applyNumberFormat="1" applyFont="1" applyFill="1"/>
    <xf numFmtId="1" fontId="34" fillId="0" borderId="0" xfId="0" applyNumberFormat="1" applyFont="1" applyFill="1" applyBorder="1"/>
    <xf numFmtId="3" fontId="15" fillId="0" borderId="0" xfId="0" applyNumberFormat="1" applyFont="1" applyFill="1" applyAlignment="1">
      <alignment horizontal="center"/>
    </xf>
    <xf numFmtId="3" fontId="15" fillId="0" borderId="0" xfId="0" applyNumberFormat="1" applyFont="1" applyFill="1" applyAlignment="1">
      <alignment horizontal="right"/>
    </xf>
    <xf numFmtId="190" fontId="20" fillId="0" borderId="10" xfId="29" applyNumberFormat="1" applyFont="1" applyBorder="1"/>
    <xf numFmtId="2" fontId="20" fillId="0" borderId="10" xfId="0" applyNumberFormat="1" applyFont="1" applyBorder="1" applyAlignment="1">
      <alignment wrapText="1"/>
    </xf>
    <xf numFmtId="2" fontId="20" fillId="0" borderId="10" xfId="0" applyNumberFormat="1" applyFont="1" applyFill="1" applyBorder="1" applyAlignment="1">
      <alignment horizontal="center" wrapText="1"/>
    </xf>
    <xf numFmtId="186" fontId="20" fillId="0" borderId="10" xfId="0" applyFont="1" applyBorder="1" applyAlignment="1">
      <alignment horizontal="center" shrinkToFit="1"/>
    </xf>
    <xf numFmtId="186" fontId="20" fillId="0" borderId="10" xfId="0" applyFont="1" applyBorder="1" applyAlignment="1">
      <alignment shrinkToFit="1"/>
    </xf>
    <xf numFmtId="192" fontId="20" fillId="0" borderId="10" xfId="0" applyNumberFormat="1" applyFont="1" applyBorder="1" applyAlignment="1" applyProtection="1">
      <alignment horizontal="center"/>
    </xf>
    <xf numFmtId="3" fontId="20" fillId="25" borderId="10" xfId="0" applyNumberFormat="1" applyFont="1" applyFill="1" applyBorder="1" applyAlignment="1">
      <alignment horizontal="center"/>
    </xf>
    <xf numFmtId="186" fontId="20" fillId="25" borderId="10" xfId="0" applyFont="1" applyFill="1" applyBorder="1" applyAlignment="1">
      <alignment horizontal="center"/>
    </xf>
    <xf numFmtId="1" fontId="20" fillId="25" borderId="10" xfId="0" applyNumberFormat="1" applyFont="1" applyFill="1" applyBorder="1" applyAlignment="1">
      <alignment horizontal="center"/>
    </xf>
    <xf numFmtId="193" fontId="20" fillId="0" borderId="19" xfId="0" applyNumberFormat="1" applyFont="1" applyBorder="1" applyAlignment="1">
      <alignment horizontal="center"/>
    </xf>
    <xf numFmtId="186" fontId="20" fillId="0" borderId="19" xfId="0" applyFont="1" applyBorder="1"/>
    <xf numFmtId="3" fontId="20" fillId="26" borderId="10" xfId="0" applyNumberFormat="1" applyFont="1" applyFill="1" applyBorder="1" applyAlignment="1"/>
    <xf numFmtId="2" fontId="22" fillId="0" borderId="0" xfId="0" applyNumberFormat="1" applyFont="1"/>
    <xf numFmtId="190" fontId="22" fillId="0" borderId="0" xfId="29" applyNumberFormat="1" applyFont="1"/>
    <xf numFmtId="196" fontId="22" fillId="0" borderId="0" xfId="47" applyNumberFormat="1" applyFont="1"/>
    <xf numFmtId="190" fontId="35" fillId="0" borderId="0" xfId="29" applyNumberFormat="1" applyFont="1"/>
    <xf numFmtId="1" fontId="35" fillId="0" borderId="0" xfId="0" applyNumberFormat="1" applyFont="1"/>
    <xf numFmtId="195" fontId="20" fillId="0" borderId="10" xfId="29" applyNumberFormat="1" applyFont="1" applyBorder="1"/>
    <xf numFmtId="171" fontId="20" fillId="0" borderId="0" xfId="29" applyFont="1"/>
    <xf numFmtId="186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 wrapText="1"/>
    </xf>
    <xf numFmtId="186" fontId="20" fillId="0" borderId="10" xfId="0" applyFont="1" applyFill="1" applyBorder="1"/>
    <xf numFmtId="2" fontId="20" fillId="24" borderId="10" xfId="0" applyNumberFormat="1" applyFont="1" applyFill="1" applyBorder="1" applyAlignment="1">
      <alignment horizontal="center" wrapText="1"/>
    </xf>
    <xf numFmtId="2" fontId="20" fillId="24" borderId="10" xfId="0" applyNumberFormat="1" applyFont="1" applyFill="1" applyBorder="1" applyAlignment="1">
      <alignment wrapText="1"/>
    </xf>
    <xf numFmtId="171" fontId="20" fillId="0" borderId="10" xfId="29" applyFont="1" applyBorder="1"/>
    <xf numFmtId="171" fontId="35" fillId="0" borderId="0" xfId="29" applyFont="1"/>
    <xf numFmtId="190" fontId="20" fillId="0" borderId="19" xfId="29" applyNumberFormat="1" applyFont="1" applyBorder="1"/>
    <xf numFmtId="195" fontId="20" fillId="0" borderId="19" xfId="29" applyNumberFormat="1" applyFont="1" applyBorder="1"/>
    <xf numFmtId="171" fontId="20" fillId="0" borderId="19" xfId="29" applyFont="1" applyBorder="1"/>
    <xf numFmtId="190" fontId="20" fillId="0" borderId="20" xfId="29" applyNumberFormat="1" applyFont="1" applyBorder="1"/>
    <xf numFmtId="186" fontId="20" fillId="0" borderId="20" xfId="0" applyFont="1" applyBorder="1"/>
    <xf numFmtId="186" fontId="20" fillId="0" borderId="21" xfId="0" applyFont="1" applyBorder="1"/>
    <xf numFmtId="171" fontId="20" fillId="0" borderId="20" xfId="29" applyFont="1" applyBorder="1"/>
    <xf numFmtId="186" fontId="20" fillId="0" borderId="0" xfId="0" applyFont="1" applyBorder="1"/>
    <xf numFmtId="193" fontId="20" fillId="0" borderId="10" xfId="0" applyNumberFormat="1" applyFont="1" applyBorder="1" applyAlignment="1">
      <alignment horizontal="center"/>
    </xf>
    <xf numFmtId="186" fontId="20" fillId="0" borderId="0" xfId="0" applyFont="1" applyFill="1"/>
    <xf numFmtId="193" fontId="20" fillId="0" borderId="10" xfId="0" applyNumberFormat="1" applyFont="1" applyFill="1" applyBorder="1" applyAlignment="1">
      <alignment horizontal="center"/>
    </xf>
    <xf numFmtId="190" fontId="20" fillId="0" borderId="10" xfId="29" applyNumberFormat="1" applyFont="1" applyFill="1" applyBorder="1"/>
    <xf numFmtId="193" fontId="20" fillId="0" borderId="19" xfId="0" applyNumberFormat="1" applyFont="1" applyFill="1" applyBorder="1" applyAlignment="1">
      <alignment horizontal="center"/>
    </xf>
    <xf numFmtId="186" fontId="20" fillId="0" borderId="19" xfId="0" applyFont="1" applyFill="1" applyBorder="1"/>
    <xf numFmtId="190" fontId="20" fillId="0" borderId="19" xfId="29" applyNumberFormat="1" applyFont="1" applyFill="1" applyBorder="1"/>
    <xf numFmtId="3" fontId="20" fillId="0" borderId="10" xfId="29" applyNumberFormat="1" applyFont="1" applyBorder="1" applyAlignment="1">
      <alignment vertical="center"/>
    </xf>
    <xf numFmtId="3" fontId="20" fillId="0" borderId="10" xfId="0" applyNumberFormat="1" applyFont="1" applyBorder="1" applyAlignment="1">
      <alignment vertical="center"/>
    </xf>
    <xf numFmtId="3" fontId="20" fillId="0" borderId="10" xfId="0" applyNumberFormat="1" applyFont="1" applyFill="1" applyBorder="1" applyAlignment="1">
      <alignment vertical="center"/>
    </xf>
    <xf numFmtId="190" fontId="20" fillId="0" borderId="10" xfId="29" applyNumberFormat="1" applyFont="1" applyBorder="1" applyAlignment="1">
      <alignment vertical="center"/>
    </xf>
    <xf numFmtId="190" fontId="20" fillId="0" borderId="19" xfId="29" applyNumberFormat="1" applyFont="1" applyBorder="1" applyAlignment="1">
      <alignment vertical="center"/>
    </xf>
    <xf numFmtId="190" fontId="20" fillId="0" borderId="20" xfId="29" applyNumberFormat="1" applyFont="1" applyBorder="1" applyAlignment="1">
      <alignment vertical="center"/>
    </xf>
    <xf numFmtId="3" fontId="20" fillId="0" borderId="10" xfId="0" applyNumberFormat="1" applyFont="1" applyBorder="1" applyAlignment="1">
      <alignment horizontal="right" vertical="center"/>
    </xf>
    <xf numFmtId="186" fontId="20" fillId="0" borderId="10" xfId="0" applyFont="1" applyBorder="1" applyAlignment="1">
      <alignment vertical="center"/>
    </xf>
    <xf numFmtId="3" fontId="20" fillId="0" borderId="10" xfId="29" applyNumberFormat="1" applyFont="1" applyBorder="1" applyAlignment="1">
      <alignment horizontal="right" vertical="center"/>
    </xf>
    <xf numFmtId="186" fontId="20" fillId="0" borderId="10" xfId="0" applyFont="1" applyBorder="1" applyAlignment="1">
      <alignment horizontal="right" vertical="center"/>
    </xf>
    <xf numFmtId="190" fontId="20" fillId="0" borderId="10" xfId="29" applyNumberFormat="1" applyFont="1" applyBorder="1" applyAlignment="1">
      <alignment horizontal="right" vertical="center"/>
    </xf>
    <xf numFmtId="190" fontId="20" fillId="0" borderId="19" xfId="29" applyNumberFormat="1" applyFont="1" applyBorder="1" applyAlignment="1">
      <alignment horizontal="right" vertical="center"/>
    </xf>
    <xf numFmtId="3" fontId="20" fillId="0" borderId="20" xfId="0" applyNumberFormat="1" applyFont="1" applyBorder="1" applyAlignment="1">
      <alignment horizontal="right" vertical="center"/>
    </xf>
    <xf numFmtId="3" fontId="20" fillId="0" borderId="10" xfId="0" applyNumberFormat="1" applyFont="1" applyFill="1" applyBorder="1" applyAlignment="1">
      <alignment horizontal="right" vertical="center"/>
    </xf>
    <xf numFmtId="186" fontId="20" fillId="0" borderId="10" xfId="0" applyFont="1" applyFill="1" applyBorder="1" applyAlignment="1">
      <alignment horizontal="right" vertical="center"/>
    </xf>
    <xf numFmtId="186" fontId="20" fillId="0" borderId="19" xfId="0" applyFont="1" applyFill="1" applyBorder="1" applyAlignment="1">
      <alignment horizontal="right" vertical="center"/>
    </xf>
    <xf numFmtId="3" fontId="20" fillId="24" borderId="10" xfId="0" applyNumberFormat="1" applyFont="1" applyFill="1" applyBorder="1" applyAlignment="1">
      <alignment vertical="center"/>
    </xf>
    <xf numFmtId="3" fontId="20" fillId="24" borderId="10" xfId="0" applyNumberFormat="1" applyFont="1" applyFill="1" applyBorder="1" applyAlignment="1">
      <alignment horizontal="right" vertical="center"/>
    </xf>
    <xf numFmtId="186" fontId="20" fillId="27" borderId="10" xfId="0" applyFont="1" applyFill="1" applyBorder="1" applyAlignment="1"/>
    <xf numFmtId="3" fontId="20" fillId="27" borderId="10" xfId="0" applyNumberFormat="1" applyFont="1" applyFill="1" applyBorder="1" applyAlignment="1"/>
    <xf numFmtId="3" fontId="20" fillId="27" borderId="10" xfId="29" applyNumberFormat="1" applyFont="1" applyFill="1" applyBorder="1" applyAlignment="1"/>
    <xf numFmtId="3" fontId="20" fillId="27" borderId="10" xfId="29" applyNumberFormat="1" applyFont="1" applyFill="1" applyBorder="1" applyAlignment="1">
      <alignment vertical="center"/>
    </xf>
    <xf numFmtId="3" fontId="20" fillId="27" borderId="10" xfId="0" applyNumberFormat="1" applyFont="1" applyFill="1" applyBorder="1" applyAlignment="1">
      <alignment vertical="center"/>
    </xf>
    <xf numFmtId="190" fontId="20" fillId="27" borderId="10" xfId="29" applyNumberFormat="1" applyFont="1" applyFill="1" applyBorder="1" applyAlignment="1">
      <alignment vertical="center"/>
    </xf>
    <xf numFmtId="190" fontId="20" fillId="27" borderId="19" xfId="29" applyNumberFormat="1" applyFont="1" applyFill="1" applyBorder="1" applyAlignment="1">
      <alignment vertical="center"/>
    </xf>
    <xf numFmtId="186" fontId="20" fillId="0" borderId="22" xfId="0" applyFont="1" applyBorder="1"/>
    <xf numFmtId="186" fontId="20" fillId="0" borderId="22" xfId="0" applyFont="1" applyFill="1" applyBorder="1"/>
    <xf numFmtId="186" fontId="20" fillId="0" borderId="23" xfId="0" applyFont="1" applyFill="1" applyBorder="1"/>
    <xf numFmtId="186" fontId="20" fillId="0" borderId="24" xfId="0" applyFont="1" applyBorder="1"/>
    <xf numFmtId="186" fontId="20" fillId="0" borderId="24" xfId="0" applyFont="1" applyFill="1" applyBorder="1"/>
    <xf numFmtId="186" fontId="20" fillId="0" borderId="25" xfId="0" applyFont="1" applyFill="1" applyBorder="1"/>
    <xf numFmtId="186" fontId="20" fillId="0" borderId="0" xfId="0" applyFont="1" applyFill="1" applyBorder="1"/>
    <xf numFmtId="186" fontId="20" fillId="0" borderId="19" xfId="0" applyFont="1" applyBorder="1" applyAlignment="1"/>
    <xf numFmtId="190" fontId="20" fillId="0" borderId="20" xfId="29" applyNumberFormat="1" applyFont="1" applyBorder="1" applyAlignment="1"/>
    <xf numFmtId="190" fontId="20" fillId="0" borderId="10" xfId="29" applyNumberFormat="1" applyFont="1" applyFill="1" applyBorder="1" applyAlignment="1"/>
    <xf numFmtId="3" fontId="20" fillId="0" borderId="10" xfId="0" applyNumberFormat="1" applyFont="1" applyFill="1" applyBorder="1" applyAlignment="1"/>
    <xf numFmtId="3" fontId="20" fillId="0" borderId="19" xfId="0" applyNumberFormat="1" applyFont="1" applyFill="1" applyBorder="1" applyAlignment="1"/>
    <xf numFmtId="9" fontId="20" fillId="0" borderId="10" xfId="47" applyFont="1" applyBorder="1"/>
    <xf numFmtId="3" fontId="20" fillId="24" borderId="10" xfId="0" applyNumberFormat="1" applyFont="1" applyFill="1" applyBorder="1"/>
    <xf numFmtId="186" fontId="20" fillId="29" borderId="10" xfId="0" applyFont="1" applyFill="1" applyBorder="1"/>
    <xf numFmtId="186" fontId="45" fillId="0" borderId="10" xfId="0" applyFont="1" applyBorder="1"/>
    <xf numFmtId="186" fontId="20" fillId="29" borderId="10" xfId="0" applyFont="1" applyFill="1" applyBorder="1" applyAlignment="1"/>
    <xf numFmtId="3" fontId="20" fillId="0" borderId="19" xfId="0" applyNumberFormat="1" applyFont="1" applyBorder="1" applyAlignment="1"/>
    <xf numFmtId="3" fontId="20" fillId="0" borderId="19" xfId="0" applyNumberFormat="1" applyFont="1" applyBorder="1"/>
    <xf numFmtId="10" fontId="20" fillId="0" borderId="10" xfId="47" applyNumberFormat="1" applyFont="1" applyBorder="1"/>
    <xf numFmtId="186" fontId="20" fillId="30" borderId="10" xfId="0" applyFont="1" applyFill="1" applyBorder="1"/>
    <xf numFmtId="3" fontId="20" fillId="30" borderId="10" xfId="0" applyNumberFormat="1" applyFont="1" applyFill="1" applyBorder="1" applyAlignment="1">
      <alignment horizontal="right" vertical="center"/>
    </xf>
    <xf numFmtId="186" fontId="20" fillId="30" borderId="10" xfId="43" applyNumberFormat="1" applyFont="1" applyFill="1" applyBorder="1"/>
    <xf numFmtId="3" fontId="20" fillId="30" borderId="19" xfId="0" applyNumberFormat="1" applyFont="1" applyFill="1" applyBorder="1" applyAlignment="1">
      <alignment horizontal="right" vertical="center"/>
    </xf>
    <xf numFmtId="186" fontId="20" fillId="30" borderId="19" xfId="0" applyFont="1" applyFill="1" applyBorder="1"/>
    <xf numFmtId="3" fontId="20" fillId="30" borderId="20" xfId="0" applyNumberFormat="1" applyFont="1" applyFill="1" applyBorder="1" applyAlignment="1">
      <alignment horizontal="right" vertical="center"/>
    </xf>
    <xf numFmtId="186" fontId="20" fillId="30" borderId="20" xfId="0" applyFont="1" applyFill="1" applyBorder="1"/>
    <xf numFmtId="3" fontId="20" fillId="30" borderId="10" xfId="0" applyNumberFormat="1" applyFont="1" applyFill="1" applyBorder="1" applyAlignment="1"/>
    <xf numFmtId="2" fontId="20" fillId="30" borderId="10" xfId="0" applyNumberFormat="1" applyFont="1" applyFill="1" applyBorder="1" applyAlignment="1">
      <alignment horizontal="center" wrapText="1"/>
    </xf>
    <xf numFmtId="186" fontId="20" fillId="30" borderId="10" xfId="0" applyFont="1" applyFill="1" applyBorder="1" applyAlignment="1">
      <alignment shrinkToFit="1"/>
    </xf>
    <xf numFmtId="3" fontId="20" fillId="30" borderId="10" xfId="0" applyNumberFormat="1" applyFont="1" applyFill="1" applyBorder="1" applyAlignment="1">
      <alignment horizontal="right"/>
    </xf>
    <xf numFmtId="3" fontId="20" fillId="30" borderId="10" xfId="0" applyNumberFormat="1" applyFont="1" applyFill="1" applyBorder="1" applyAlignment="1">
      <alignment vertical="center"/>
    </xf>
    <xf numFmtId="186" fontId="20" fillId="30" borderId="10" xfId="0" applyFont="1" applyFill="1" applyBorder="1" applyAlignment="1">
      <alignment vertical="center"/>
    </xf>
    <xf numFmtId="3" fontId="20" fillId="30" borderId="10" xfId="29" applyNumberFormat="1" applyFont="1" applyFill="1" applyBorder="1" applyAlignment="1"/>
    <xf numFmtId="3" fontId="20" fillId="30" borderId="10" xfId="29" applyNumberFormat="1" applyFont="1" applyFill="1" applyBorder="1" applyAlignment="1">
      <alignment vertical="center"/>
    </xf>
    <xf numFmtId="3" fontId="20" fillId="30" borderId="10" xfId="29" applyNumberFormat="1" applyFont="1" applyFill="1" applyBorder="1" applyAlignment="1">
      <alignment horizontal="right"/>
    </xf>
    <xf numFmtId="3" fontId="20" fillId="30" borderId="10" xfId="0" applyNumberFormat="1" applyFont="1" applyFill="1" applyBorder="1"/>
    <xf numFmtId="190" fontId="20" fillId="30" borderId="10" xfId="29" applyNumberFormat="1" applyFont="1" applyFill="1" applyBorder="1"/>
    <xf numFmtId="190" fontId="20" fillId="30" borderId="10" xfId="29" applyNumberFormat="1" applyFont="1" applyFill="1" applyBorder="1" applyAlignment="1">
      <alignment vertical="center"/>
    </xf>
    <xf numFmtId="190" fontId="20" fillId="30" borderId="19" xfId="29" applyNumberFormat="1" applyFont="1" applyFill="1" applyBorder="1"/>
    <xf numFmtId="190" fontId="20" fillId="30" borderId="19" xfId="29" applyNumberFormat="1" applyFont="1" applyFill="1" applyBorder="1" applyAlignment="1">
      <alignment vertical="center"/>
    </xf>
    <xf numFmtId="190" fontId="20" fillId="30" borderId="20" xfId="29" applyNumberFormat="1" applyFont="1" applyFill="1" applyBorder="1"/>
    <xf numFmtId="190" fontId="20" fillId="30" borderId="20" xfId="29" applyNumberFormat="1" applyFont="1" applyFill="1" applyBorder="1" applyAlignment="1">
      <alignment vertical="center"/>
    </xf>
    <xf numFmtId="2" fontId="20" fillId="29" borderId="10" xfId="0" applyNumberFormat="1" applyFont="1" applyFill="1" applyBorder="1" applyAlignment="1">
      <alignment vertical="center" wrapText="1"/>
    </xf>
    <xf numFmtId="2" fontId="20" fillId="30" borderId="10" xfId="0" applyNumberFormat="1" applyFont="1" applyFill="1" applyBorder="1" applyAlignment="1">
      <alignment vertical="center" wrapText="1"/>
    </xf>
    <xf numFmtId="2" fontId="36" fillId="0" borderId="0" xfId="0" applyNumberFormat="1" applyFont="1" applyAlignment="1">
      <alignment wrapText="1"/>
    </xf>
    <xf numFmtId="3" fontId="20" fillId="31" borderId="10" xfId="0" applyNumberFormat="1" applyFont="1" applyFill="1" applyBorder="1" applyAlignment="1">
      <alignment horizontal="right" vertical="center"/>
    </xf>
    <xf numFmtId="186" fontId="20" fillId="0" borderId="26" xfId="0" applyFont="1" applyBorder="1"/>
    <xf numFmtId="186" fontId="20" fillId="31" borderId="10" xfId="0" applyFont="1" applyFill="1" applyBorder="1"/>
    <xf numFmtId="3" fontId="20" fillId="30" borderId="20" xfId="0" applyNumberFormat="1" applyFont="1" applyFill="1" applyBorder="1" applyAlignment="1">
      <alignment vertical="center"/>
    </xf>
    <xf numFmtId="186" fontId="20" fillId="0" borderId="20" xfId="0" applyFont="1" applyFill="1" applyBorder="1"/>
    <xf numFmtId="3" fontId="20" fillId="0" borderId="22" xfId="0" applyNumberFormat="1" applyFont="1" applyBorder="1" applyAlignment="1"/>
    <xf numFmtId="3" fontId="20" fillId="24" borderId="19" xfId="0" applyNumberFormat="1" applyFont="1" applyFill="1" applyBorder="1" applyAlignment="1">
      <alignment horizontal="right" vertical="center"/>
    </xf>
    <xf numFmtId="3" fontId="20" fillId="24" borderId="20" xfId="0" applyNumberFormat="1" applyFont="1" applyFill="1" applyBorder="1" applyAlignment="1">
      <alignment horizontal="right" vertical="center"/>
    </xf>
    <xf numFmtId="2" fontId="6" fillId="0" borderId="10" xfId="0" applyNumberFormat="1" applyFont="1" applyBorder="1"/>
    <xf numFmtId="186" fontId="6" fillId="0" borderId="10" xfId="0" applyFont="1" applyBorder="1"/>
    <xf numFmtId="186" fontId="45" fillId="0" borderId="22" xfId="0" applyFont="1" applyBorder="1"/>
    <xf numFmtId="186" fontId="20" fillId="0" borderId="27" xfId="0" applyFont="1" applyBorder="1"/>
    <xf numFmtId="186" fontId="20" fillId="0" borderId="28" xfId="0" applyFont="1" applyBorder="1"/>
    <xf numFmtId="186" fontId="20" fillId="0" borderId="28" xfId="0" applyFont="1" applyFill="1" applyBorder="1"/>
    <xf numFmtId="186" fontId="45" fillId="0" borderId="24" xfId="0" applyFont="1" applyBorder="1"/>
    <xf numFmtId="3" fontId="20" fillId="0" borderId="24" xfId="0" applyNumberFormat="1" applyFont="1" applyBorder="1" applyAlignment="1"/>
    <xf numFmtId="186" fontId="46" fillId="0" borderId="10" xfId="0" applyFont="1" applyBorder="1"/>
    <xf numFmtId="2" fontId="47" fillId="0" borderId="10" xfId="0" applyNumberFormat="1" applyFont="1" applyBorder="1"/>
    <xf numFmtId="1" fontId="47" fillId="0" borderId="10" xfId="0" applyNumberFormat="1" applyFont="1" applyBorder="1"/>
    <xf numFmtId="2" fontId="20" fillId="32" borderId="24" xfId="0" applyNumberFormat="1" applyFont="1" applyFill="1" applyBorder="1" applyAlignment="1">
      <alignment wrapText="1"/>
    </xf>
    <xf numFmtId="1" fontId="20" fillId="32" borderId="24" xfId="0" applyNumberFormat="1" applyFont="1" applyFill="1" applyBorder="1" applyAlignment="1">
      <alignment wrapText="1"/>
    </xf>
    <xf numFmtId="9" fontId="20" fillId="0" borderId="19" xfId="47" applyFont="1" applyBorder="1"/>
    <xf numFmtId="3" fontId="20" fillId="29" borderId="10" xfId="0" applyNumberFormat="1" applyFont="1" applyFill="1" applyBorder="1" applyAlignment="1">
      <alignment horizontal="right" vertical="center"/>
    </xf>
    <xf numFmtId="186" fontId="20" fillId="33" borderId="10" xfId="0" applyFont="1" applyFill="1" applyBorder="1"/>
    <xf numFmtId="186" fontId="20" fillId="34" borderId="10" xfId="0" applyFont="1" applyFill="1" applyBorder="1"/>
    <xf numFmtId="183" fontId="48" fillId="34" borderId="26" xfId="0" applyNumberFormat="1" applyFont="1" applyFill="1" applyBorder="1"/>
    <xf numFmtId="186" fontId="20" fillId="29" borderId="19" xfId="0" applyFont="1" applyFill="1" applyBorder="1"/>
    <xf numFmtId="3" fontId="20" fillId="29" borderId="19" xfId="0" applyNumberFormat="1" applyFont="1" applyFill="1" applyBorder="1" applyAlignment="1">
      <alignment horizontal="right" vertical="center"/>
    </xf>
    <xf numFmtId="186" fontId="20" fillId="0" borderId="0" xfId="0" applyFont="1" applyBorder="1" applyAlignment="1">
      <alignment horizontal="justify" vertical="center" wrapText="1"/>
    </xf>
    <xf numFmtId="3" fontId="20" fillId="0" borderId="0" xfId="0" applyNumberFormat="1" applyFont="1" applyBorder="1" applyAlignment="1"/>
    <xf numFmtId="3" fontId="20" fillId="30" borderId="22" xfId="0" applyNumberFormat="1" applyFont="1" applyFill="1" applyBorder="1" applyAlignment="1">
      <alignment vertical="center"/>
    </xf>
    <xf numFmtId="193" fontId="20" fillId="29" borderId="10" xfId="0" applyNumberFormat="1" applyFont="1" applyFill="1" applyBorder="1" applyAlignment="1">
      <alignment horizontal="center"/>
    </xf>
    <xf numFmtId="190" fontId="20" fillId="29" borderId="10" xfId="29" applyNumberFormat="1" applyFont="1" applyFill="1" applyBorder="1" applyAlignment="1">
      <alignment vertical="center"/>
    </xf>
    <xf numFmtId="190" fontId="20" fillId="29" borderId="10" xfId="29" applyNumberFormat="1" applyFont="1" applyFill="1" applyBorder="1"/>
    <xf numFmtId="3" fontId="20" fillId="29" borderId="10" xfId="0" applyNumberFormat="1" applyFont="1" applyFill="1" applyBorder="1"/>
    <xf numFmtId="183" fontId="48" fillId="29" borderId="26" xfId="0" applyNumberFormat="1" applyFont="1" applyFill="1" applyBorder="1"/>
    <xf numFmtId="186" fontId="20" fillId="29" borderId="0" xfId="0" applyFont="1" applyFill="1"/>
    <xf numFmtId="1" fontId="20" fillId="29" borderId="24" xfId="0" applyNumberFormat="1" applyFont="1" applyFill="1" applyBorder="1" applyAlignment="1">
      <alignment wrapText="1"/>
    </xf>
    <xf numFmtId="186" fontId="20" fillId="29" borderId="24" xfId="0" applyFont="1" applyFill="1" applyBorder="1"/>
    <xf numFmtId="171" fontId="20" fillId="29" borderId="10" xfId="29" applyFont="1" applyFill="1" applyBorder="1"/>
    <xf numFmtId="9" fontId="20" fillId="29" borderId="10" xfId="47" applyFont="1" applyFill="1" applyBorder="1"/>
    <xf numFmtId="1" fontId="20" fillId="0" borderId="10" xfId="0" applyNumberFormat="1" applyFont="1" applyBorder="1"/>
    <xf numFmtId="2" fontId="20" fillId="0" borderId="10" xfId="0" applyNumberFormat="1" applyFont="1" applyBorder="1"/>
    <xf numFmtId="2" fontId="20" fillId="38" borderId="10" xfId="0" applyNumberFormat="1" applyFont="1" applyFill="1" applyBorder="1" applyAlignment="1">
      <alignment wrapText="1"/>
    </xf>
    <xf numFmtId="186" fontId="36" fillId="0" borderId="10" xfId="0" applyFont="1" applyBorder="1" applyAlignment="1">
      <alignment wrapText="1"/>
    </xf>
    <xf numFmtId="2" fontId="36" fillId="0" borderId="10" xfId="0" applyNumberFormat="1" applyFont="1" applyBorder="1" applyAlignment="1">
      <alignment wrapText="1"/>
    </xf>
    <xf numFmtId="9" fontId="20" fillId="0" borderId="22" xfId="47" applyFont="1" applyBorder="1"/>
    <xf numFmtId="9" fontId="20" fillId="0" borderId="23" xfId="47" applyFont="1" applyBorder="1"/>
    <xf numFmtId="9" fontId="20" fillId="29" borderId="22" xfId="47" applyFont="1" applyFill="1" applyBorder="1"/>
    <xf numFmtId="185" fontId="20" fillId="0" borderId="10" xfId="0" applyNumberFormat="1" applyFont="1" applyBorder="1"/>
    <xf numFmtId="1" fontId="23" fillId="0" borderId="13" xfId="0" applyNumberFormat="1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1" fontId="23" fillId="0" borderId="15" xfId="0" applyNumberFormat="1" applyFont="1" applyBorder="1" applyAlignment="1">
      <alignment horizontal="center"/>
    </xf>
    <xf numFmtId="1" fontId="23" fillId="0" borderId="29" xfId="0" applyNumberFormat="1" applyFont="1" applyBorder="1" applyAlignment="1">
      <alignment horizontal="center"/>
    </xf>
    <xf numFmtId="1" fontId="22" fillId="0" borderId="12" xfId="0" applyNumberFormat="1" applyFont="1" applyBorder="1" applyAlignment="1">
      <alignment horizontal="center"/>
    </xf>
    <xf numFmtId="186" fontId="36" fillId="35" borderId="22" xfId="0" applyFont="1" applyFill="1" applyBorder="1" applyAlignment="1">
      <alignment horizontal="center"/>
    </xf>
    <xf numFmtId="186" fontId="36" fillId="35" borderId="26" xfId="0" applyFont="1" applyFill="1" applyBorder="1" applyAlignment="1">
      <alignment horizontal="center"/>
    </xf>
    <xf numFmtId="186" fontId="36" fillId="35" borderId="24" xfId="0" applyFont="1" applyFill="1" applyBorder="1" applyAlignment="1">
      <alignment horizontal="center"/>
    </xf>
    <xf numFmtId="186" fontId="36" fillId="36" borderId="22" xfId="0" applyFont="1" applyFill="1" applyBorder="1" applyAlignment="1">
      <alignment horizontal="center"/>
    </xf>
    <xf numFmtId="186" fontId="36" fillId="36" borderId="26" xfId="0" applyFont="1" applyFill="1" applyBorder="1" applyAlignment="1">
      <alignment horizontal="center"/>
    </xf>
    <xf numFmtId="186" fontId="36" fillId="36" borderId="24" xfId="0" applyFont="1" applyFill="1" applyBorder="1" applyAlignment="1">
      <alignment horizontal="center"/>
    </xf>
    <xf numFmtId="186" fontId="36" fillId="38" borderId="22" xfId="0" applyFont="1" applyFill="1" applyBorder="1" applyAlignment="1">
      <alignment horizontal="center"/>
    </xf>
    <xf numFmtId="186" fontId="36" fillId="38" borderId="26" xfId="0" applyFont="1" applyFill="1" applyBorder="1" applyAlignment="1">
      <alignment horizontal="center"/>
    </xf>
    <xf numFmtId="186" fontId="36" fillId="38" borderId="24" xfId="0" applyFont="1" applyFill="1" applyBorder="1" applyAlignment="1">
      <alignment horizontal="center"/>
    </xf>
    <xf numFmtId="186" fontId="36" fillId="0" borderId="22" xfId="0" applyFont="1" applyBorder="1" applyAlignment="1">
      <alignment horizontal="center"/>
    </xf>
    <xf numFmtId="186" fontId="36" fillId="0" borderId="24" xfId="0" applyFont="1" applyBorder="1" applyAlignment="1">
      <alignment horizontal="center"/>
    </xf>
    <xf numFmtId="186" fontId="43" fillId="0" borderId="22" xfId="0" applyFont="1" applyBorder="1" applyAlignment="1">
      <alignment horizontal="center" wrapText="1"/>
    </xf>
    <xf numFmtId="186" fontId="43" fillId="0" borderId="26" xfId="0" applyFont="1" applyBorder="1" applyAlignment="1">
      <alignment horizontal="center" wrapText="1"/>
    </xf>
    <xf numFmtId="186" fontId="43" fillId="0" borderId="24" xfId="0" applyFont="1" applyBorder="1" applyAlignment="1">
      <alignment horizontal="center" wrapText="1"/>
    </xf>
    <xf numFmtId="186" fontId="20" fillId="0" borderId="22" xfId="0" applyFont="1" applyBorder="1" applyAlignment="1">
      <alignment horizontal="center"/>
    </xf>
    <xf numFmtId="186" fontId="20" fillId="0" borderId="26" xfId="0" applyFont="1" applyBorder="1" applyAlignment="1">
      <alignment horizontal="center"/>
    </xf>
    <xf numFmtId="2" fontId="20" fillId="0" borderId="0" xfId="0" applyNumberFormat="1" applyFont="1" applyAlignment="1">
      <alignment horizontal="center" wrapText="1"/>
    </xf>
    <xf numFmtId="186" fontId="20" fillId="0" borderId="0" xfId="0" applyFont="1" applyAlignment="1">
      <alignment horizontal="center"/>
    </xf>
    <xf numFmtId="186" fontId="36" fillId="37" borderId="22" xfId="0" applyFont="1" applyFill="1" applyBorder="1" applyAlignment="1">
      <alignment horizontal="center"/>
    </xf>
    <xf numFmtId="186" fontId="36" fillId="37" borderId="26" xfId="0" applyFont="1" applyFill="1" applyBorder="1" applyAlignment="1">
      <alignment horizontal="center"/>
    </xf>
    <xf numFmtId="186" fontId="36" fillId="37" borderId="24" xfId="0" applyFont="1" applyFill="1" applyBorder="1" applyAlignment="1">
      <alignment horizontal="center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1 2" xfId="8" xr:uid="{1B9E77B8-C243-4AD9-B084-78D96C3719C5}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Comma" xfId="29" builtinId="3"/>
    <cellStyle name="Comma 2" xfId="30" xr:uid="{BEE14F7E-2AEE-457C-B6E9-4E925E018397}"/>
    <cellStyle name="Comma0" xfId="31" xr:uid="{4E88F30D-9518-4EE1-B480-A6B5519A12D7}"/>
    <cellStyle name="Explanatory Text" xfId="32" builtinId="53" customBuiltin="1"/>
    <cellStyle name="Fixed" xfId="33" xr:uid="{171D2597-7C57-4C03-8E19-CA41CD454A31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15" xfId="42" xr:uid="{1CE6A91C-1BA7-490C-A17B-E01F809B53D7}"/>
    <cellStyle name="Normal 2" xfId="43" xr:uid="{4311B883-ACDA-4096-A140-E2B33A23B6E5}"/>
    <cellStyle name="Normal 3" xfId="44" xr:uid="{CB514BD8-14F1-46B9-867A-EB6A18600C54}"/>
    <cellStyle name="Note" xfId="45" builtinId="10" customBuiltin="1"/>
    <cellStyle name="Output" xfId="46" builtinId="21" customBuiltin="1"/>
    <cellStyle name="Percent" xfId="47" builtinId="5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4308" name="Rectangle 1">
          <a:extLst>
            <a:ext uri="{FF2B5EF4-FFF2-40B4-BE49-F238E27FC236}">
              <a16:creationId xmlns:a16="http://schemas.microsoft.com/office/drawing/2014/main" id="{36B9EDF4-276D-99AA-04EC-603C598F6B43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4309" name="Line 2">
          <a:extLst>
            <a:ext uri="{FF2B5EF4-FFF2-40B4-BE49-F238E27FC236}">
              <a16:creationId xmlns:a16="http://schemas.microsoft.com/office/drawing/2014/main" id="{07F9EFA7-16F2-BE1E-892E-B07C1B8556D6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4310" name="Line 3">
          <a:extLst>
            <a:ext uri="{FF2B5EF4-FFF2-40B4-BE49-F238E27FC236}">
              <a16:creationId xmlns:a16="http://schemas.microsoft.com/office/drawing/2014/main" id="{BFEFBE95-5A1F-6A7B-62B9-642F002B4C8C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1" name="Line 4">
          <a:extLst>
            <a:ext uri="{FF2B5EF4-FFF2-40B4-BE49-F238E27FC236}">
              <a16:creationId xmlns:a16="http://schemas.microsoft.com/office/drawing/2014/main" id="{4ABD2BE5-332C-3195-2E65-E44A170135D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2" name="Line 5">
          <a:extLst>
            <a:ext uri="{FF2B5EF4-FFF2-40B4-BE49-F238E27FC236}">
              <a16:creationId xmlns:a16="http://schemas.microsoft.com/office/drawing/2014/main" id="{1987BB57-C1F3-47B7-EE96-A1D30BDA820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3" name="Line 6">
          <a:extLst>
            <a:ext uri="{FF2B5EF4-FFF2-40B4-BE49-F238E27FC236}">
              <a16:creationId xmlns:a16="http://schemas.microsoft.com/office/drawing/2014/main" id="{13B87B3D-7E5D-BA7F-5ED5-5C9D360050A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4" name="Line 7">
          <a:extLst>
            <a:ext uri="{FF2B5EF4-FFF2-40B4-BE49-F238E27FC236}">
              <a16:creationId xmlns:a16="http://schemas.microsoft.com/office/drawing/2014/main" id="{B20D96C0-6D15-2E7A-47B9-D4DC6428CAD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5" name="Line 8">
          <a:extLst>
            <a:ext uri="{FF2B5EF4-FFF2-40B4-BE49-F238E27FC236}">
              <a16:creationId xmlns:a16="http://schemas.microsoft.com/office/drawing/2014/main" id="{6C0A0C83-D88F-FA2E-BF29-58797A2D208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6" name="Line 9">
          <a:extLst>
            <a:ext uri="{FF2B5EF4-FFF2-40B4-BE49-F238E27FC236}">
              <a16:creationId xmlns:a16="http://schemas.microsoft.com/office/drawing/2014/main" id="{A669FD6F-CF8F-46E4-BC2D-288CF001F5A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7" name="Line 10">
          <a:extLst>
            <a:ext uri="{FF2B5EF4-FFF2-40B4-BE49-F238E27FC236}">
              <a16:creationId xmlns:a16="http://schemas.microsoft.com/office/drawing/2014/main" id="{6BFE2BF8-66A0-32FE-1D70-040259B08CF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8" name="Line 11">
          <a:extLst>
            <a:ext uri="{FF2B5EF4-FFF2-40B4-BE49-F238E27FC236}">
              <a16:creationId xmlns:a16="http://schemas.microsoft.com/office/drawing/2014/main" id="{B360FF55-4ED2-BAA9-E001-CEFF7B56BD0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9" name="Line 12">
          <a:extLst>
            <a:ext uri="{FF2B5EF4-FFF2-40B4-BE49-F238E27FC236}">
              <a16:creationId xmlns:a16="http://schemas.microsoft.com/office/drawing/2014/main" id="{04611E3F-CEEC-3B95-23E0-2F9DB17DFB9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20" name="Line 13">
          <a:extLst>
            <a:ext uri="{FF2B5EF4-FFF2-40B4-BE49-F238E27FC236}">
              <a16:creationId xmlns:a16="http://schemas.microsoft.com/office/drawing/2014/main" id="{01D29915-498D-2BAA-2A0D-1FB9B53202F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4321" name="Line 14">
          <a:extLst>
            <a:ext uri="{FF2B5EF4-FFF2-40B4-BE49-F238E27FC236}">
              <a16:creationId xmlns:a16="http://schemas.microsoft.com/office/drawing/2014/main" id="{7AB77820-D0A2-84F4-37B8-3DB2AFE3253A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4322" name="Line 15">
          <a:extLst>
            <a:ext uri="{FF2B5EF4-FFF2-40B4-BE49-F238E27FC236}">
              <a16:creationId xmlns:a16="http://schemas.microsoft.com/office/drawing/2014/main" id="{FF3FB064-8142-320B-7289-3235F332A1FA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23" name="Line 16">
          <a:extLst>
            <a:ext uri="{FF2B5EF4-FFF2-40B4-BE49-F238E27FC236}">
              <a16:creationId xmlns:a16="http://schemas.microsoft.com/office/drawing/2014/main" id="{614AB4A1-66BF-68D6-D0AD-DFFBC4D1FC1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4324" name="Line 17">
          <a:extLst>
            <a:ext uri="{FF2B5EF4-FFF2-40B4-BE49-F238E27FC236}">
              <a16:creationId xmlns:a16="http://schemas.microsoft.com/office/drawing/2014/main" id="{04170A17-B685-7C07-172B-D02E6D3548DA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4325" name="Line 18">
          <a:extLst>
            <a:ext uri="{FF2B5EF4-FFF2-40B4-BE49-F238E27FC236}">
              <a16:creationId xmlns:a16="http://schemas.microsoft.com/office/drawing/2014/main" id="{5B7196D1-4A00-3966-28BF-73BE7ED83F74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26" name="Line 19">
          <a:extLst>
            <a:ext uri="{FF2B5EF4-FFF2-40B4-BE49-F238E27FC236}">
              <a16:creationId xmlns:a16="http://schemas.microsoft.com/office/drawing/2014/main" id="{F6467F62-09A4-4A22-7839-E5187D34ECC7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27" name="Line 20">
          <a:extLst>
            <a:ext uri="{FF2B5EF4-FFF2-40B4-BE49-F238E27FC236}">
              <a16:creationId xmlns:a16="http://schemas.microsoft.com/office/drawing/2014/main" id="{7AAAD8C0-D211-9A2C-0397-A3C4BB8824C9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28" name="Line 21">
          <a:extLst>
            <a:ext uri="{FF2B5EF4-FFF2-40B4-BE49-F238E27FC236}">
              <a16:creationId xmlns:a16="http://schemas.microsoft.com/office/drawing/2014/main" id="{4952A952-9E5B-B3E7-BF7E-B40A91D33629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29" name="Line 22">
          <a:extLst>
            <a:ext uri="{FF2B5EF4-FFF2-40B4-BE49-F238E27FC236}">
              <a16:creationId xmlns:a16="http://schemas.microsoft.com/office/drawing/2014/main" id="{DC938A2E-C0AF-875C-71B1-28F486442478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30" name="Line 23">
          <a:extLst>
            <a:ext uri="{FF2B5EF4-FFF2-40B4-BE49-F238E27FC236}">
              <a16:creationId xmlns:a16="http://schemas.microsoft.com/office/drawing/2014/main" id="{DE795378-E14D-20F2-54EB-16C642DCDB6C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31" name="Line 24">
          <a:extLst>
            <a:ext uri="{FF2B5EF4-FFF2-40B4-BE49-F238E27FC236}">
              <a16:creationId xmlns:a16="http://schemas.microsoft.com/office/drawing/2014/main" id="{142A34CC-FACF-1096-2266-1899A8255B7F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32" name="Line 25">
          <a:extLst>
            <a:ext uri="{FF2B5EF4-FFF2-40B4-BE49-F238E27FC236}">
              <a16:creationId xmlns:a16="http://schemas.microsoft.com/office/drawing/2014/main" id="{EA9E905B-B479-C4C7-7E97-E18FB22BFA8C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FFDD38F8-F372-C506-9B70-CC371E588E69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4334" name="Line 27">
          <a:extLst>
            <a:ext uri="{FF2B5EF4-FFF2-40B4-BE49-F238E27FC236}">
              <a16:creationId xmlns:a16="http://schemas.microsoft.com/office/drawing/2014/main" id="{44775604-0D34-A87F-CCED-CDAC84544212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4335" name="Line 28">
          <a:extLst>
            <a:ext uri="{FF2B5EF4-FFF2-40B4-BE49-F238E27FC236}">
              <a16:creationId xmlns:a16="http://schemas.microsoft.com/office/drawing/2014/main" id="{7328E5CE-8AF5-E2F1-10CB-E2F80AEEAA62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D872C5C7-3F4D-3888-521C-24915461675F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7" name="Line 30">
          <a:extLst>
            <a:ext uri="{FF2B5EF4-FFF2-40B4-BE49-F238E27FC236}">
              <a16:creationId xmlns:a16="http://schemas.microsoft.com/office/drawing/2014/main" id="{C8D522E3-0CD4-A857-4D95-502F4024F11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8" name="Line 31">
          <a:extLst>
            <a:ext uri="{FF2B5EF4-FFF2-40B4-BE49-F238E27FC236}">
              <a16:creationId xmlns:a16="http://schemas.microsoft.com/office/drawing/2014/main" id="{E0F67B9C-492B-2A66-CCAF-2072C408564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9" name="Line 32">
          <a:extLst>
            <a:ext uri="{FF2B5EF4-FFF2-40B4-BE49-F238E27FC236}">
              <a16:creationId xmlns:a16="http://schemas.microsoft.com/office/drawing/2014/main" id="{B1F2638E-2320-0CBF-CB87-78A2C28BC557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40" name="Line 33">
          <a:extLst>
            <a:ext uri="{FF2B5EF4-FFF2-40B4-BE49-F238E27FC236}">
              <a16:creationId xmlns:a16="http://schemas.microsoft.com/office/drawing/2014/main" id="{EF49B56E-01F4-634B-9FEC-011691842CE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4341" name="Rectangle 34">
          <a:extLst>
            <a:ext uri="{FF2B5EF4-FFF2-40B4-BE49-F238E27FC236}">
              <a16:creationId xmlns:a16="http://schemas.microsoft.com/office/drawing/2014/main" id="{2D350EA4-609A-1544-667D-6BC2B2EF6DB1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4342" name="Line 35">
          <a:extLst>
            <a:ext uri="{FF2B5EF4-FFF2-40B4-BE49-F238E27FC236}">
              <a16:creationId xmlns:a16="http://schemas.microsoft.com/office/drawing/2014/main" id="{CE52BFDC-87D0-300D-EE5E-7AB80A3A04A1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4343" name="Line 36">
          <a:extLst>
            <a:ext uri="{FF2B5EF4-FFF2-40B4-BE49-F238E27FC236}">
              <a16:creationId xmlns:a16="http://schemas.microsoft.com/office/drawing/2014/main" id="{EBC0C513-54B0-CCC7-8840-787739B49D4D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4" name="Line 37">
          <a:extLst>
            <a:ext uri="{FF2B5EF4-FFF2-40B4-BE49-F238E27FC236}">
              <a16:creationId xmlns:a16="http://schemas.microsoft.com/office/drawing/2014/main" id="{D1120F78-EED4-AB7B-966E-CC02BE1DBAE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5" name="Line 38">
          <a:extLst>
            <a:ext uri="{FF2B5EF4-FFF2-40B4-BE49-F238E27FC236}">
              <a16:creationId xmlns:a16="http://schemas.microsoft.com/office/drawing/2014/main" id="{BB36A62C-B8DE-C9D0-897E-A5950FD674E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6" name="Line 39">
          <a:extLst>
            <a:ext uri="{FF2B5EF4-FFF2-40B4-BE49-F238E27FC236}">
              <a16:creationId xmlns:a16="http://schemas.microsoft.com/office/drawing/2014/main" id="{37AFBF61-D90D-8EF6-CF1F-B5A04F16351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7" name="Line 40">
          <a:extLst>
            <a:ext uri="{FF2B5EF4-FFF2-40B4-BE49-F238E27FC236}">
              <a16:creationId xmlns:a16="http://schemas.microsoft.com/office/drawing/2014/main" id="{D98DA56E-0A6B-D2CB-C69D-AB604D754D7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8" name="Line 41">
          <a:extLst>
            <a:ext uri="{FF2B5EF4-FFF2-40B4-BE49-F238E27FC236}">
              <a16:creationId xmlns:a16="http://schemas.microsoft.com/office/drawing/2014/main" id="{5CEEB35D-FD82-6A9A-4AF2-0921BFF8A77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49" name="Line 42">
          <a:extLst>
            <a:ext uri="{FF2B5EF4-FFF2-40B4-BE49-F238E27FC236}">
              <a16:creationId xmlns:a16="http://schemas.microsoft.com/office/drawing/2014/main" id="{990BB934-F5DB-F0DC-D2C4-4E8529C6B7A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0" name="Line 43">
          <a:extLst>
            <a:ext uri="{FF2B5EF4-FFF2-40B4-BE49-F238E27FC236}">
              <a16:creationId xmlns:a16="http://schemas.microsoft.com/office/drawing/2014/main" id="{8A71A9C1-7177-5CDF-1919-23259A5D03F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1" name="Line 44">
          <a:extLst>
            <a:ext uri="{FF2B5EF4-FFF2-40B4-BE49-F238E27FC236}">
              <a16:creationId xmlns:a16="http://schemas.microsoft.com/office/drawing/2014/main" id="{1481AEE4-8938-31DB-6EB8-3D87BEC1BD8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2" name="Line 45">
          <a:extLst>
            <a:ext uri="{FF2B5EF4-FFF2-40B4-BE49-F238E27FC236}">
              <a16:creationId xmlns:a16="http://schemas.microsoft.com/office/drawing/2014/main" id="{3026A5E0-A86B-5585-ACCF-4F7916792F4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3" name="Line 46">
          <a:extLst>
            <a:ext uri="{FF2B5EF4-FFF2-40B4-BE49-F238E27FC236}">
              <a16:creationId xmlns:a16="http://schemas.microsoft.com/office/drawing/2014/main" id="{A2DADD25-3226-CF28-76CC-279A481A3B6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4354" name="Line 47">
          <a:extLst>
            <a:ext uri="{FF2B5EF4-FFF2-40B4-BE49-F238E27FC236}">
              <a16:creationId xmlns:a16="http://schemas.microsoft.com/office/drawing/2014/main" id="{BA7579DE-5315-41BA-4D58-942E61858BDD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4355" name="Line 48">
          <a:extLst>
            <a:ext uri="{FF2B5EF4-FFF2-40B4-BE49-F238E27FC236}">
              <a16:creationId xmlns:a16="http://schemas.microsoft.com/office/drawing/2014/main" id="{460E2F6E-4439-FBA5-21DC-256A04E258CB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56" name="Line 49">
          <a:extLst>
            <a:ext uri="{FF2B5EF4-FFF2-40B4-BE49-F238E27FC236}">
              <a16:creationId xmlns:a16="http://schemas.microsoft.com/office/drawing/2014/main" id="{28F50CC4-BE75-F8A0-EBE9-7A90D877F24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4357" name="Line 50">
          <a:extLst>
            <a:ext uri="{FF2B5EF4-FFF2-40B4-BE49-F238E27FC236}">
              <a16:creationId xmlns:a16="http://schemas.microsoft.com/office/drawing/2014/main" id="{67A97F87-680F-489B-C264-57D52F9ACC88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4358" name="Line 51">
          <a:extLst>
            <a:ext uri="{FF2B5EF4-FFF2-40B4-BE49-F238E27FC236}">
              <a16:creationId xmlns:a16="http://schemas.microsoft.com/office/drawing/2014/main" id="{2FC7853A-C3C0-CE40-56AF-AF6944268E94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59" name="Line 52">
          <a:extLst>
            <a:ext uri="{FF2B5EF4-FFF2-40B4-BE49-F238E27FC236}">
              <a16:creationId xmlns:a16="http://schemas.microsoft.com/office/drawing/2014/main" id="{6D1A5CF9-B06E-9362-68BB-64DC007CBAA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60" name="Line 53">
          <a:extLst>
            <a:ext uri="{FF2B5EF4-FFF2-40B4-BE49-F238E27FC236}">
              <a16:creationId xmlns:a16="http://schemas.microsoft.com/office/drawing/2014/main" id="{6F168499-1E47-8D6B-9E98-D988CF60A98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61" name="Line 54">
          <a:extLst>
            <a:ext uri="{FF2B5EF4-FFF2-40B4-BE49-F238E27FC236}">
              <a16:creationId xmlns:a16="http://schemas.microsoft.com/office/drawing/2014/main" id="{9824DE22-0314-9C94-30A7-C04AE1C31451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4362" name="Line 55">
          <a:extLst>
            <a:ext uri="{FF2B5EF4-FFF2-40B4-BE49-F238E27FC236}">
              <a16:creationId xmlns:a16="http://schemas.microsoft.com/office/drawing/2014/main" id="{A17918B2-FCA0-7595-935E-71CD1A7F9BDF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2B27C02A-3554-B848-2C60-186AB81B35B4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887D82DE-683B-DD36-0467-E17AA374A402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67C0F632-8B42-C109-FB7A-1B1B063B19B6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877315E3-F623-9E65-CC01-64F48B8E06D3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42D92463-F5EC-5DB8-A294-C27156CD163E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B199C9CE-0437-A771-103F-DBF35E55105A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4369" name="Line 62">
          <a:extLst>
            <a:ext uri="{FF2B5EF4-FFF2-40B4-BE49-F238E27FC236}">
              <a16:creationId xmlns:a16="http://schemas.microsoft.com/office/drawing/2014/main" id="{DC83876A-B946-AC18-0423-9EBC27649F10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4370" name="Line 63">
          <a:extLst>
            <a:ext uri="{FF2B5EF4-FFF2-40B4-BE49-F238E27FC236}">
              <a16:creationId xmlns:a16="http://schemas.microsoft.com/office/drawing/2014/main" id="{03F781A8-72AE-537C-40C6-AD72A28DD00C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4371" name="Line 64">
          <a:extLst>
            <a:ext uri="{FF2B5EF4-FFF2-40B4-BE49-F238E27FC236}">
              <a16:creationId xmlns:a16="http://schemas.microsoft.com/office/drawing/2014/main" id="{AD644141-7558-4726-C2DB-D25E50F2AF5E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4372" name="Line 65">
          <a:extLst>
            <a:ext uri="{FF2B5EF4-FFF2-40B4-BE49-F238E27FC236}">
              <a16:creationId xmlns:a16="http://schemas.microsoft.com/office/drawing/2014/main" id="{2F094734-7C9F-06A7-AA72-2DEDFFC4FD14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4373" name="Line 66">
          <a:extLst>
            <a:ext uri="{FF2B5EF4-FFF2-40B4-BE49-F238E27FC236}">
              <a16:creationId xmlns:a16="http://schemas.microsoft.com/office/drawing/2014/main" id="{9F108598-B371-2AB8-EA43-16BB22407CD7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4374" name="Line 67">
          <a:extLst>
            <a:ext uri="{FF2B5EF4-FFF2-40B4-BE49-F238E27FC236}">
              <a16:creationId xmlns:a16="http://schemas.microsoft.com/office/drawing/2014/main" id="{E1E8120C-95A5-65B7-E8AE-5A5A8554656C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3BA1D78F-3C80-E2F0-E92D-596487B46ECA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4376" name="Line 69">
          <a:extLst>
            <a:ext uri="{FF2B5EF4-FFF2-40B4-BE49-F238E27FC236}">
              <a16:creationId xmlns:a16="http://schemas.microsoft.com/office/drawing/2014/main" id="{058E7BC5-51A2-924A-9D31-605488641A41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8B71B0AF-F674-1A92-2F10-299EEF04FC5E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4378" name="Line 71">
          <a:extLst>
            <a:ext uri="{FF2B5EF4-FFF2-40B4-BE49-F238E27FC236}">
              <a16:creationId xmlns:a16="http://schemas.microsoft.com/office/drawing/2014/main" id="{FBD50CA9-E480-6076-13DD-1F7B9B0EB1AF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4379" name="Line 72">
          <a:extLst>
            <a:ext uri="{FF2B5EF4-FFF2-40B4-BE49-F238E27FC236}">
              <a16:creationId xmlns:a16="http://schemas.microsoft.com/office/drawing/2014/main" id="{A515C60A-2362-9C92-7C14-009C5007E838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4380" name="Line 73">
          <a:extLst>
            <a:ext uri="{FF2B5EF4-FFF2-40B4-BE49-F238E27FC236}">
              <a16:creationId xmlns:a16="http://schemas.microsoft.com/office/drawing/2014/main" id="{E7EED87C-21F9-A0D1-B737-C02867E864B7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E0AF46C5-5BA1-DEDE-F637-EEDA7F146906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2D5C0156-696D-23B5-A2D5-1DE1B6328C03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84C46F10-FBF7-5EF5-C04E-6E0B69DF645F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864218EB-D8DB-6163-B75B-BCC650584270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4385" name="Line 78">
          <a:extLst>
            <a:ext uri="{FF2B5EF4-FFF2-40B4-BE49-F238E27FC236}">
              <a16:creationId xmlns:a16="http://schemas.microsoft.com/office/drawing/2014/main" id="{523D74D3-7E02-3F92-3599-99D267A5942C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4386" name="Line 79">
          <a:extLst>
            <a:ext uri="{FF2B5EF4-FFF2-40B4-BE49-F238E27FC236}">
              <a16:creationId xmlns:a16="http://schemas.microsoft.com/office/drawing/2014/main" id="{34A515B2-AB65-F982-D7FA-BDD462BB3C2B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4387" name="Line 80">
          <a:extLst>
            <a:ext uri="{FF2B5EF4-FFF2-40B4-BE49-F238E27FC236}">
              <a16:creationId xmlns:a16="http://schemas.microsoft.com/office/drawing/2014/main" id="{A34C14FD-6134-56C3-39B0-CFB61AF17BB9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4388" name="Line 81">
          <a:extLst>
            <a:ext uri="{FF2B5EF4-FFF2-40B4-BE49-F238E27FC236}">
              <a16:creationId xmlns:a16="http://schemas.microsoft.com/office/drawing/2014/main" id="{5D4CA706-B7AC-9831-783D-1B21A768C1BE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4389" name="Line 82">
          <a:extLst>
            <a:ext uri="{FF2B5EF4-FFF2-40B4-BE49-F238E27FC236}">
              <a16:creationId xmlns:a16="http://schemas.microsoft.com/office/drawing/2014/main" id="{301A0267-483C-41DA-B621-DA80FDD64154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4390" name="Line 83">
          <a:extLst>
            <a:ext uri="{FF2B5EF4-FFF2-40B4-BE49-F238E27FC236}">
              <a16:creationId xmlns:a16="http://schemas.microsoft.com/office/drawing/2014/main" id="{9F0F7172-4FAF-EB51-88AC-6EE1A9506950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E987D557-ABB3-DF0D-D683-76DB34245A5F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4392" name="Line 85">
          <a:extLst>
            <a:ext uri="{FF2B5EF4-FFF2-40B4-BE49-F238E27FC236}">
              <a16:creationId xmlns:a16="http://schemas.microsoft.com/office/drawing/2014/main" id="{F521ED65-6FA9-6B9B-1A12-6008AAFC68AC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4393" name="Line 86">
          <a:extLst>
            <a:ext uri="{FF2B5EF4-FFF2-40B4-BE49-F238E27FC236}">
              <a16:creationId xmlns:a16="http://schemas.microsoft.com/office/drawing/2014/main" id="{D3AD87DD-BA59-3FFB-9A87-C940E3991C78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BEC574BB-7E78-6D96-D9D0-EA4785F521D4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4395" name="Line 88">
          <a:extLst>
            <a:ext uri="{FF2B5EF4-FFF2-40B4-BE49-F238E27FC236}">
              <a16:creationId xmlns:a16="http://schemas.microsoft.com/office/drawing/2014/main" id="{4232B367-AD43-E903-ED25-8C08955DEED5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4396" name="Line 89">
          <a:extLst>
            <a:ext uri="{FF2B5EF4-FFF2-40B4-BE49-F238E27FC236}">
              <a16:creationId xmlns:a16="http://schemas.microsoft.com/office/drawing/2014/main" id="{2136EEA9-0643-1975-5A99-94DB2D16BEB0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4397" name="Line 90">
          <a:extLst>
            <a:ext uri="{FF2B5EF4-FFF2-40B4-BE49-F238E27FC236}">
              <a16:creationId xmlns:a16="http://schemas.microsoft.com/office/drawing/2014/main" id="{CB641640-36AC-7D02-0C73-014477A06EC6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4398" name="Line 91">
          <a:extLst>
            <a:ext uri="{FF2B5EF4-FFF2-40B4-BE49-F238E27FC236}">
              <a16:creationId xmlns:a16="http://schemas.microsoft.com/office/drawing/2014/main" id="{FCD9C9CC-97BE-AF01-49D2-516395C8E77E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4399" name="Line 92">
          <a:extLst>
            <a:ext uri="{FF2B5EF4-FFF2-40B4-BE49-F238E27FC236}">
              <a16:creationId xmlns:a16="http://schemas.microsoft.com/office/drawing/2014/main" id="{BC91FCEE-C570-E076-4440-E19B1FC144AB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4400" name="AutoShape 93" descr="Stationery">
          <a:extLst>
            <a:ext uri="{FF2B5EF4-FFF2-40B4-BE49-F238E27FC236}">
              <a16:creationId xmlns:a16="http://schemas.microsoft.com/office/drawing/2014/main" id="{78EC3112-C366-1557-C9BE-1FD73B483BCC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4401" name="Line 94">
          <a:extLst>
            <a:ext uri="{FF2B5EF4-FFF2-40B4-BE49-F238E27FC236}">
              <a16:creationId xmlns:a16="http://schemas.microsoft.com/office/drawing/2014/main" id="{6DE185BD-AF7E-7C4E-BBFB-899CAADB8B6E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4402" name="Line 95">
          <a:extLst>
            <a:ext uri="{FF2B5EF4-FFF2-40B4-BE49-F238E27FC236}">
              <a16:creationId xmlns:a16="http://schemas.microsoft.com/office/drawing/2014/main" id="{63931B78-BC14-4239-EB3A-2568B1793A22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CB281980-1386-D31D-805E-C459E6EE0329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34BACCA7-06D9-BD6F-843F-229D1CA7261A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4405" name="Line 98">
          <a:extLst>
            <a:ext uri="{FF2B5EF4-FFF2-40B4-BE49-F238E27FC236}">
              <a16:creationId xmlns:a16="http://schemas.microsoft.com/office/drawing/2014/main" id="{7768BFC9-4EC4-2EC2-A97F-D040DDBA5DC8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4406" name="Line 99">
          <a:extLst>
            <a:ext uri="{FF2B5EF4-FFF2-40B4-BE49-F238E27FC236}">
              <a16:creationId xmlns:a16="http://schemas.microsoft.com/office/drawing/2014/main" id="{047E85EF-2000-A58F-BB50-C889506BFC50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4407" name="Line 100">
          <a:extLst>
            <a:ext uri="{FF2B5EF4-FFF2-40B4-BE49-F238E27FC236}">
              <a16:creationId xmlns:a16="http://schemas.microsoft.com/office/drawing/2014/main" id="{97309F84-F87E-211A-BC5D-1E71B07E90C9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4408" name="Line 101">
          <a:extLst>
            <a:ext uri="{FF2B5EF4-FFF2-40B4-BE49-F238E27FC236}">
              <a16:creationId xmlns:a16="http://schemas.microsoft.com/office/drawing/2014/main" id="{6A990A27-90ED-4A96-9E4A-C3629C06984C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09" name="Line 102">
          <a:extLst>
            <a:ext uri="{FF2B5EF4-FFF2-40B4-BE49-F238E27FC236}">
              <a16:creationId xmlns:a16="http://schemas.microsoft.com/office/drawing/2014/main" id="{517807C6-043F-FE99-477B-123F61B0A524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6811490E-A6BB-8F35-6CB8-EB50676F0CBE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4411" name="Line 104">
          <a:extLst>
            <a:ext uri="{FF2B5EF4-FFF2-40B4-BE49-F238E27FC236}">
              <a16:creationId xmlns:a16="http://schemas.microsoft.com/office/drawing/2014/main" id="{5E68EBC9-B4A9-741C-9928-594BBE46AFAE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145F6123-E0B8-F04B-7C50-7BD75447EBA2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4413" name="Line 106">
          <a:extLst>
            <a:ext uri="{FF2B5EF4-FFF2-40B4-BE49-F238E27FC236}">
              <a16:creationId xmlns:a16="http://schemas.microsoft.com/office/drawing/2014/main" id="{6B17265C-0DAF-75BD-0A71-A09AA725EF36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F3DC8038-6E69-89BA-FC37-C71C394A66DB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4415" name="Freeform 108">
          <a:extLst>
            <a:ext uri="{FF2B5EF4-FFF2-40B4-BE49-F238E27FC236}">
              <a16:creationId xmlns:a16="http://schemas.microsoft.com/office/drawing/2014/main" id="{81B9BA80-024B-5F74-7675-5F3283990848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4416" name="Line 109">
          <a:extLst>
            <a:ext uri="{FF2B5EF4-FFF2-40B4-BE49-F238E27FC236}">
              <a16:creationId xmlns:a16="http://schemas.microsoft.com/office/drawing/2014/main" id="{27843835-AF16-D5DC-40E5-5109AE39BB27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4417" name="Line 110">
          <a:extLst>
            <a:ext uri="{FF2B5EF4-FFF2-40B4-BE49-F238E27FC236}">
              <a16:creationId xmlns:a16="http://schemas.microsoft.com/office/drawing/2014/main" id="{EDD5B6FB-1B72-25E7-D404-EC49F2A0E7FB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4418" name="Line 111">
          <a:extLst>
            <a:ext uri="{FF2B5EF4-FFF2-40B4-BE49-F238E27FC236}">
              <a16:creationId xmlns:a16="http://schemas.microsoft.com/office/drawing/2014/main" id="{6F52466F-7671-7F0B-08DE-D44C98B6C1BB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4419" name="Line 112">
          <a:extLst>
            <a:ext uri="{FF2B5EF4-FFF2-40B4-BE49-F238E27FC236}">
              <a16:creationId xmlns:a16="http://schemas.microsoft.com/office/drawing/2014/main" id="{E7617A79-8DDA-5482-FB4C-8AFBD832092B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4420" name="Line 113">
          <a:extLst>
            <a:ext uri="{FF2B5EF4-FFF2-40B4-BE49-F238E27FC236}">
              <a16:creationId xmlns:a16="http://schemas.microsoft.com/office/drawing/2014/main" id="{65727FA6-73AB-13FD-70C4-403E9A8AD0EC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4421" name="Line 114">
          <a:extLst>
            <a:ext uri="{FF2B5EF4-FFF2-40B4-BE49-F238E27FC236}">
              <a16:creationId xmlns:a16="http://schemas.microsoft.com/office/drawing/2014/main" id="{014C7371-6EE9-24A7-4741-B5B760F50F09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4422" name="Line 115">
          <a:extLst>
            <a:ext uri="{FF2B5EF4-FFF2-40B4-BE49-F238E27FC236}">
              <a16:creationId xmlns:a16="http://schemas.microsoft.com/office/drawing/2014/main" id="{EDD709BB-E06C-084C-2840-A9446D362098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4423" name="Line 116">
          <a:extLst>
            <a:ext uri="{FF2B5EF4-FFF2-40B4-BE49-F238E27FC236}">
              <a16:creationId xmlns:a16="http://schemas.microsoft.com/office/drawing/2014/main" id="{97DF1AC7-0E29-AFFD-DD06-8E9D6179EB2C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4424" name="Line 117">
          <a:extLst>
            <a:ext uri="{FF2B5EF4-FFF2-40B4-BE49-F238E27FC236}">
              <a16:creationId xmlns:a16="http://schemas.microsoft.com/office/drawing/2014/main" id="{DBFC6CDB-1E42-6116-E6D1-EF9A20E62D56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4425" name="Line 118">
          <a:extLst>
            <a:ext uri="{FF2B5EF4-FFF2-40B4-BE49-F238E27FC236}">
              <a16:creationId xmlns:a16="http://schemas.microsoft.com/office/drawing/2014/main" id="{36CBCF55-E25D-5ED7-525C-26D317D99B8C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6" name="Line 119">
          <a:extLst>
            <a:ext uri="{FF2B5EF4-FFF2-40B4-BE49-F238E27FC236}">
              <a16:creationId xmlns:a16="http://schemas.microsoft.com/office/drawing/2014/main" id="{EC59D047-EA7C-712A-D70B-7B080B5233ED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7" name="Line 120">
          <a:extLst>
            <a:ext uri="{FF2B5EF4-FFF2-40B4-BE49-F238E27FC236}">
              <a16:creationId xmlns:a16="http://schemas.microsoft.com/office/drawing/2014/main" id="{CEF3E68B-E769-E0AA-3C5C-BFA83132D501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8" name="Line 121">
          <a:extLst>
            <a:ext uri="{FF2B5EF4-FFF2-40B4-BE49-F238E27FC236}">
              <a16:creationId xmlns:a16="http://schemas.microsoft.com/office/drawing/2014/main" id="{1CB36C9F-ADB7-B7B3-1CC6-457D138272F5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4429" name="Line 122">
          <a:extLst>
            <a:ext uri="{FF2B5EF4-FFF2-40B4-BE49-F238E27FC236}">
              <a16:creationId xmlns:a16="http://schemas.microsoft.com/office/drawing/2014/main" id="{4265E869-5B7B-0BCB-ADE3-7916E4575088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4430" name="Line 123">
          <a:extLst>
            <a:ext uri="{FF2B5EF4-FFF2-40B4-BE49-F238E27FC236}">
              <a16:creationId xmlns:a16="http://schemas.microsoft.com/office/drawing/2014/main" id="{529FE323-ED4D-CB23-04CD-A29F4245C750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4431" name="Line 124">
          <a:extLst>
            <a:ext uri="{FF2B5EF4-FFF2-40B4-BE49-F238E27FC236}">
              <a16:creationId xmlns:a16="http://schemas.microsoft.com/office/drawing/2014/main" id="{E32FDFAA-433D-1BB1-A3BA-14937F5263ED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4432" name="Line 125">
          <a:extLst>
            <a:ext uri="{FF2B5EF4-FFF2-40B4-BE49-F238E27FC236}">
              <a16:creationId xmlns:a16="http://schemas.microsoft.com/office/drawing/2014/main" id="{24261644-23B5-BCDA-4C46-E20F671F024D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4433" name="Line 126">
          <a:extLst>
            <a:ext uri="{FF2B5EF4-FFF2-40B4-BE49-F238E27FC236}">
              <a16:creationId xmlns:a16="http://schemas.microsoft.com/office/drawing/2014/main" id="{35DD5D0A-54C4-22B7-25CC-6139C8DC4422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4434" name="Group 127">
          <a:extLst>
            <a:ext uri="{FF2B5EF4-FFF2-40B4-BE49-F238E27FC236}">
              <a16:creationId xmlns:a16="http://schemas.microsoft.com/office/drawing/2014/main" id="{FC8ADB04-199F-674D-DD3F-484578173269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4502" name="Oval 128">
            <a:extLst>
              <a:ext uri="{FF2B5EF4-FFF2-40B4-BE49-F238E27FC236}">
                <a16:creationId xmlns:a16="http://schemas.microsoft.com/office/drawing/2014/main" id="{4F87A705-8BF3-C04F-2070-56DE1A83590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503" name="Line 129">
            <a:extLst>
              <a:ext uri="{FF2B5EF4-FFF2-40B4-BE49-F238E27FC236}">
                <a16:creationId xmlns:a16="http://schemas.microsoft.com/office/drawing/2014/main" id="{F8CBA390-608F-2D19-AE69-A1B0D3F7FB4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4435" name="Group 130">
          <a:extLst>
            <a:ext uri="{FF2B5EF4-FFF2-40B4-BE49-F238E27FC236}">
              <a16:creationId xmlns:a16="http://schemas.microsoft.com/office/drawing/2014/main" id="{BFA6675C-EE9C-F9ED-2021-26285ED87E59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4500" name="Oval 131">
            <a:extLst>
              <a:ext uri="{FF2B5EF4-FFF2-40B4-BE49-F238E27FC236}">
                <a16:creationId xmlns:a16="http://schemas.microsoft.com/office/drawing/2014/main" id="{AA398BA4-5FE5-B443-C5C0-870A922F2E8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501" name="Line 132">
            <a:extLst>
              <a:ext uri="{FF2B5EF4-FFF2-40B4-BE49-F238E27FC236}">
                <a16:creationId xmlns:a16="http://schemas.microsoft.com/office/drawing/2014/main" id="{9DDC8F53-A8E0-5CF8-7024-D91EA999AC1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4436" name="Group 133">
          <a:extLst>
            <a:ext uri="{FF2B5EF4-FFF2-40B4-BE49-F238E27FC236}">
              <a16:creationId xmlns:a16="http://schemas.microsoft.com/office/drawing/2014/main" id="{7BB8D364-78A5-47EF-D50D-A9B532D9EDFC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4498" name="Oval 134">
            <a:extLst>
              <a:ext uri="{FF2B5EF4-FFF2-40B4-BE49-F238E27FC236}">
                <a16:creationId xmlns:a16="http://schemas.microsoft.com/office/drawing/2014/main" id="{7EAFCF50-D467-AC0C-68CE-9901B80121C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9" name="Line 135">
            <a:extLst>
              <a:ext uri="{FF2B5EF4-FFF2-40B4-BE49-F238E27FC236}">
                <a16:creationId xmlns:a16="http://schemas.microsoft.com/office/drawing/2014/main" id="{1BA0A575-9C56-949F-61BD-FBEA1063674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4437" name="Group 136">
          <a:extLst>
            <a:ext uri="{FF2B5EF4-FFF2-40B4-BE49-F238E27FC236}">
              <a16:creationId xmlns:a16="http://schemas.microsoft.com/office/drawing/2014/main" id="{5AAA5219-EAE8-0895-C39C-C20F99989C7C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4496" name="Oval 137">
            <a:extLst>
              <a:ext uri="{FF2B5EF4-FFF2-40B4-BE49-F238E27FC236}">
                <a16:creationId xmlns:a16="http://schemas.microsoft.com/office/drawing/2014/main" id="{EDA0463A-308D-0C45-8429-8C59486BC4C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7" name="Line 138">
            <a:extLst>
              <a:ext uri="{FF2B5EF4-FFF2-40B4-BE49-F238E27FC236}">
                <a16:creationId xmlns:a16="http://schemas.microsoft.com/office/drawing/2014/main" id="{D87CFFB0-6232-3633-C97F-4902FAA9CFF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4438" name="Group 139">
          <a:extLst>
            <a:ext uri="{FF2B5EF4-FFF2-40B4-BE49-F238E27FC236}">
              <a16:creationId xmlns:a16="http://schemas.microsoft.com/office/drawing/2014/main" id="{26858E82-86D0-EC44-4555-55467AE19FEB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4494" name="Oval 140">
            <a:extLst>
              <a:ext uri="{FF2B5EF4-FFF2-40B4-BE49-F238E27FC236}">
                <a16:creationId xmlns:a16="http://schemas.microsoft.com/office/drawing/2014/main" id="{C1F481F4-DE05-17EA-0663-A6A956CB541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5" name="Line 141">
            <a:extLst>
              <a:ext uri="{FF2B5EF4-FFF2-40B4-BE49-F238E27FC236}">
                <a16:creationId xmlns:a16="http://schemas.microsoft.com/office/drawing/2014/main" id="{D3425865-74AB-FFF5-58B9-3460D37CD205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4439" name="Group 142">
          <a:extLst>
            <a:ext uri="{FF2B5EF4-FFF2-40B4-BE49-F238E27FC236}">
              <a16:creationId xmlns:a16="http://schemas.microsoft.com/office/drawing/2014/main" id="{32CD743A-2602-DBEF-1288-BAD1F3A6C9EC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4492" name="Oval 143">
            <a:extLst>
              <a:ext uri="{FF2B5EF4-FFF2-40B4-BE49-F238E27FC236}">
                <a16:creationId xmlns:a16="http://schemas.microsoft.com/office/drawing/2014/main" id="{8E9FE41F-0CF8-C461-91D8-73D8967B2B1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3" name="Line 144">
            <a:extLst>
              <a:ext uri="{FF2B5EF4-FFF2-40B4-BE49-F238E27FC236}">
                <a16:creationId xmlns:a16="http://schemas.microsoft.com/office/drawing/2014/main" id="{427A25FD-37E1-FD02-F0AC-62A0784DC29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4440" name="Group 145">
          <a:extLst>
            <a:ext uri="{FF2B5EF4-FFF2-40B4-BE49-F238E27FC236}">
              <a16:creationId xmlns:a16="http://schemas.microsoft.com/office/drawing/2014/main" id="{7BE16C88-F412-AF88-94E1-32D7E2C6F1C4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4490" name="Oval 146">
            <a:extLst>
              <a:ext uri="{FF2B5EF4-FFF2-40B4-BE49-F238E27FC236}">
                <a16:creationId xmlns:a16="http://schemas.microsoft.com/office/drawing/2014/main" id="{A34C7698-5327-361D-20D9-AE67681DF85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1" name="Line 147">
            <a:extLst>
              <a:ext uri="{FF2B5EF4-FFF2-40B4-BE49-F238E27FC236}">
                <a16:creationId xmlns:a16="http://schemas.microsoft.com/office/drawing/2014/main" id="{B75B513E-3D11-F08A-A2D3-D38770559C7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9AA0D1BA-312C-C8B4-FED3-59C104AEC050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4442" name="Line 149">
          <a:extLst>
            <a:ext uri="{FF2B5EF4-FFF2-40B4-BE49-F238E27FC236}">
              <a16:creationId xmlns:a16="http://schemas.microsoft.com/office/drawing/2014/main" id="{99066F31-695B-26CD-604F-25A1A4DE0AB4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4443" name="Line 150">
          <a:extLst>
            <a:ext uri="{FF2B5EF4-FFF2-40B4-BE49-F238E27FC236}">
              <a16:creationId xmlns:a16="http://schemas.microsoft.com/office/drawing/2014/main" id="{7CABB75E-4318-1C3A-A63A-23AFB5BAAA4E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03944773-7AB2-D9F1-B458-67E6203A464D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4445" name="Line 153">
          <a:extLst>
            <a:ext uri="{FF2B5EF4-FFF2-40B4-BE49-F238E27FC236}">
              <a16:creationId xmlns:a16="http://schemas.microsoft.com/office/drawing/2014/main" id="{6AA77E2F-AF6F-D35C-3B84-C16C40B7A28E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4446" name="Line 154">
          <a:extLst>
            <a:ext uri="{FF2B5EF4-FFF2-40B4-BE49-F238E27FC236}">
              <a16:creationId xmlns:a16="http://schemas.microsoft.com/office/drawing/2014/main" id="{D8129F5E-5BB1-ABBA-4AB7-08AF81733AE4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4447" name="Freeform 155">
          <a:extLst>
            <a:ext uri="{FF2B5EF4-FFF2-40B4-BE49-F238E27FC236}">
              <a16:creationId xmlns:a16="http://schemas.microsoft.com/office/drawing/2014/main" id="{C96A6BE8-3EE6-84EE-F235-1262C3D8E412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4448" name="Line 156">
          <a:extLst>
            <a:ext uri="{FF2B5EF4-FFF2-40B4-BE49-F238E27FC236}">
              <a16:creationId xmlns:a16="http://schemas.microsoft.com/office/drawing/2014/main" id="{63A05811-61BE-8C24-0B6D-BDE6851CC735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4449" name="Line 157">
          <a:extLst>
            <a:ext uri="{FF2B5EF4-FFF2-40B4-BE49-F238E27FC236}">
              <a16:creationId xmlns:a16="http://schemas.microsoft.com/office/drawing/2014/main" id="{EB1221D3-6F2A-6CEC-F924-ED36A7AFC09B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4450" name="Line 158">
          <a:extLst>
            <a:ext uri="{FF2B5EF4-FFF2-40B4-BE49-F238E27FC236}">
              <a16:creationId xmlns:a16="http://schemas.microsoft.com/office/drawing/2014/main" id="{B700AC0B-3767-4974-9F46-2A266C27362C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4451" name="Line 160">
          <a:extLst>
            <a:ext uri="{FF2B5EF4-FFF2-40B4-BE49-F238E27FC236}">
              <a16:creationId xmlns:a16="http://schemas.microsoft.com/office/drawing/2014/main" id="{23C78672-98F2-0946-7CBE-7C4B37B0A4AE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4452" name="Line 161">
          <a:extLst>
            <a:ext uri="{FF2B5EF4-FFF2-40B4-BE49-F238E27FC236}">
              <a16:creationId xmlns:a16="http://schemas.microsoft.com/office/drawing/2014/main" id="{ECA1C57F-9485-3154-06DB-FE7EBBCB2FF6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4453" name="Line 162">
          <a:extLst>
            <a:ext uri="{FF2B5EF4-FFF2-40B4-BE49-F238E27FC236}">
              <a16:creationId xmlns:a16="http://schemas.microsoft.com/office/drawing/2014/main" id="{5EE431F4-7915-7FE5-8B0C-932B02543C93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4454" name="Line 163">
          <a:extLst>
            <a:ext uri="{FF2B5EF4-FFF2-40B4-BE49-F238E27FC236}">
              <a16:creationId xmlns:a16="http://schemas.microsoft.com/office/drawing/2014/main" id="{66849BC6-01A1-3958-DC24-EEA77A11D30B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4455" name="Line 164">
          <a:extLst>
            <a:ext uri="{FF2B5EF4-FFF2-40B4-BE49-F238E27FC236}">
              <a16:creationId xmlns:a16="http://schemas.microsoft.com/office/drawing/2014/main" id="{458CA290-DE98-23F2-599F-929AAE948029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4456" name="Line 165">
          <a:extLst>
            <a:ext uri="{FF2B5EF4-FFF2-40B4-BE49-F238E27FC236}">
              <a16:creationId xmlns:a16="http://schemas.microsoft.com/office/drawing/2014/main" id="{F00EFED9-A231-09DA-E862-245733E2632B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2691C910-3ADF-235F-3410-FF0AF543DEDC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03ED2D8D-9E03-B3D8-AF76-0E9994773146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4459" name="Line 2509">
          <a:extLst>
            <a:ext uri="{FF2B5EF4-FFF2-40B4-BE49-F238E27FC236}">
              <a16:creationId xmlns:a16="http://schemas.microsoft.com/office/drawing/2014/main" id="{B264E6DD-BF6D-869F-532F-65705CEE41F6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A6C38E58-DC19-071C-BDD0-03D8AE4B4B3B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E4C00AB5-3E78-E1CD-A53D-4F4C5159F698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4462" name="Group 183">
          <a:extLst>
            <a:ext uri="{FF2B5EF4-FFF2-40B4-BE49-F238E27FC236}">
              <a16:creationId xmlns:a16="http://schemas.microsoft.com/office/drawing/2014/main" id="{5AF4B756-D2F8-D4DE-A4A0-0A07090ADA9A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36872309-AB46-6FC1-FED9-2E4409CEA6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4482" name="Line 2507">
            <a:extLst>
              <a:ext uri="{FF2B5EF4-FFF2-40B4-BE49-F238E27FC236}">
                <a16:creationId xmlns:a16="http://schemas.microsoft.com/office/drawing/2014/main" id="{FDB48819-B322-E53F-8F4E-E44F0D1CE501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28FD4B39-E411-C350-38DF-9EC4EABE8EDE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0F0477C1-69EF-5C91-91E2-5DB3AC062C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18500ACD-8A24-993D-CB3F-51BD91BC37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5545CB61-980D-DF58-3258-D57AEB078B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A416128-4F1E-90B8-FC05-949DC0E80E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4488" name="Line 2515">
            <a:extLst>
              <a:ext uri="{FF2B5EF4-FFF2-40B4-BE49-F238E27FC236}">
                <a16:creationId xmlns:a16="http://schemas.microsoft.com/office/drawing/2014/main" id="{0C7D7F6A-74B5-BF83-6528-899B3E97DFFC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50219915-74E4-6945-E508-438157277D7C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C8E36EAB-C3D2-C65F-6367-ECEAD5B6A5D2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29C71D61-DD6C-5893-DDD6-583C4B5A7D75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27326E17-65EF-BA0A-FA97-13D008316A75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F72EDC2A-1B5B-180C-9924-03A3A892E1B8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42D9A06A-D840-7CB0-E920-3D3F48F75747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DA41E4D2-941D-C31A-38C3-BF11B899C1E3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4469" name="Line 2515">
          <a:extLst>
            <a:ext uri="{FF2B5EF4-FFF2-40B4-BE49-F238E27FC236}">
              <a16:creationId xmlns:a16="http://schemas.microsoft.com/office/drawing/2014/main" id="{DF36C2E7-5F56-3C9B-E0FF-86E8357750A6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15DCA0C4-3C7D-211C-33D4-5488B3379021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965F0559-4CC2-DD05-2AD0-B43B13101759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4E3E7606-503D-5391-6376-0F0DA8695FBF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60336485-5FA0-B327-E004-51E80B21511D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7EA64E3C-2B30-7CF8-951B-891D7306D8CB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C04D9561-76C5-B1D8-CAD5-44A8F39002E2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65F2B5EA-3712-1E99-D6E7-C8B904505CE1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D3D0FEF1-6AFC-8D95-CF30-FAF7421C7171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1A43B9E9-8935-A4FA-C72D-F1646FED02CC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752E28BA-0816-75B2-AE75-BF4904625B82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262635F6-11BF-2C8C-DBFC-D3CC6911104D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5332" name="Rectangle 1">
          <a:extLst>
            <a:ext uri="{FF2B5EF4-FFF2-40B4-BE49-F238E27FC236}">
              <a16:creationId xmlns:a16="http://schemas.microsoft.com/office/drawing/2014/main" id="{8A3B0CC6-2B0E-DDB1-57A2-8E329B50E68A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5333" name="Line 2">
          <a:extLst>
            <a:ext uri="{FF2B5EF4-FFF2-40B4-BE49-F238E27FC236}">
              <a16:creationId xmlns:a16="http://schemas.microsoft.com/office/drawing/2014/main" id="{E2CA1998-D497-8801-7F90-F6DE67628B58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5334" name="Line 3">
          <a:extLst>
            <a:ext uri="{FF2B5EF4-FFF2-40B4-BE49-F238E27FC236}">
              <a16:creationId xmlns:a16="http://schemas.microsoft.com/office/drawing/2014/main" id="{A6452BF8-1BAF-CA04-17EE-6D104E5F0C2D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5" name="Line 4">
          <a:extLst>
            <a:ext uri="{FF2B5EF4-FFF2-40B4-BE49-F238E27FC236}">
              <a16:creationId xmlns:a16="http://schemas.microsoft.com/office/drawing/2014/main" id="{3B68E8B9-9B1A-A347-74F8-A4BC9CF1573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6" name="Line 5">
          <a:extLst>
            <a:ext uri="{FF2B5EF4-FFF2-40B4-BE49-F238E27FC236}">
              <a16:creationId xmlns:a16="http://schemas.microsoft.com/office/drawing/2014/main" id="{A8778739-A008-C7EC-F934-88F2A2D032B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7" name="Line 6">
          <a:extLst>
            <a:ext uri="{FF2B5EF4-FFF2-40B4-BE49-F238E27FC236}">
              <a16:creationId xmlns:a16="http://schemas.microsoft.com/office/drawing/2014/main" id="{C87867A3-7188-5E08-025D-46F78280E86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8" name="Line 7">
          <a:extLst>
            <a:ext uri="{FF2B5EF4-FFF2-40B4-BE49-F238E27FC236}">
              <a16:creationId xmlns:a16="http://schemas.microsoft.com/office/drawing/2014/main" id="{C4DE0638-7175-AEF9-EC73-482ADCE24C0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9" name="Line 8">
          <a:extLst>
            <a:ext uri="{FF2B5EF4-FFF2-40B4-BE49-F238E27FC236}">
              <a16:creationId xmlns:a16="http://schemas.microsoft.com/office/drawing/2014/main" id="{2A484CE3-7686-F53C-9867-943600B21C1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0" name="Line 9">
          <a:extLst>
            <a:ext uri="{FF2B5EF4-FFF2-40B4-BE49-F238E27FC236}">
              <a16:creationId xmlns:a16="http://schemas.microsoft.com/office/drawing/2014/main" id="{A5AD5ED1-EFE1-29EA-D1D5-F83601BD52B6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1" name="Line 10">
          <a:extLst>
            <a:ext uri="{FF2B5EF4-FFF2-40B4-BE49-F238E27FC236}">
              <a16:creationId xmlns:a16="http://schemas.microsoft.com/office/drawing/2014/main" id="{0E9C36EE-0B7C-5319-B908-9B64268EEB6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2" name="Line 11">
          <a:extLst>
            <a:ext uri="{FF2B5EF4-FFF2-40B4-BE49-F238E27FC236}">
              <a16:creationId xmlns:a16="http://schemas.microsoft.com/office/drawing/2014/main" id="{E9CDBC9E-4B1B-86E0-5F53-08252B4A9C3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3" name="Line 12">
          <a:extLst>
            <a:ext uri="{FF2B5EF4-FFF2-40B4-BE49-F238E27FC236}">
              <a16:creationId xmlns:a16="http://schemas.microsoft.com/office/drawing/2014/main" id="{E1B8F4F7-C3FF-255A-6282-129BFFB2F4B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4" name="Line 13">
          <a:extLst>
            <a:ext uri="{FF2B5EF4-FFF2-40B4-BE49-F238E27FC236}">
              <a16:creationId xmlns:a16="http://schemas.microsoft.com/office/drawing/2014/main" id="{C683763C-F70B-5CB7-4E36-75A4CD1F6C4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5345" name="Line 14">
          <a:extLst>
            <a:ext uri="{FF2B5EF4-FFF2-40B4-BE49-F238E27FC236}">
              <a16:creationId xmlns:a16="http://schemas.microsoft.com/office/drawing/2014/main" id="{9A08FFD6-B3A7-C2F7-A5BD-7A4BEF35A97C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5346" name="Line 15">
          <a:extLst>
            <a:ext uri="{FF2B5EF4-FFF2-40B4-BE49-F238E27FC236}">
              <a16:creationId xmlns:a16="http://schemas.microsoft.com/office/drawing/2014/main" id="{C935F8A9-CE77-1BFF-3DC1-D03E79EB9D60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47" name="Line 16">
          <a:extLst>
            <a:ext uri="{FF2B5EF4-FFF2-40B4-BE49-F238E27FC236}">
              <a16:creationId xmlns:a16="http://schemas.microsoft.com/office/drawing/2014/main" id="{3B8D77DC-2EED-8885-654F-D76EB46C891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5348" name="Line 17">
          <a:extLst>
            <a:ext uri="{FF2B5EF4-FFF2-40B4-BE49-F238E27FC236}">
              <a16:creationId xmlns:a16="http://schemas.microsoft.com/office/drawing/2014/main" id="{E2E6AA4F-3048-C069-C35B-AA0409FCCB17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5349" name="Line 18">
          <a:extLst>
            <a:ext uri="{FF2B5EF4-FFF2-40B4-BE49-F238E27FC236}">
              <a16:creationId xmlns:a16="http://schemas.microsoft.com/office/drawing/2014/main" id="{5C07802C-15DF-BCF1-FF37-397244161121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0" name="Line 19">
          <a:extLst>
            <a:ext uri="{FF2B5EF4-FFF2-40B4-BE49-F238E27FC236}">
              <a16:creationId xmlns:a16="http://schemas.microsoft.com/office/drawing/2014/main" id="{A1E70020-7B0C-4D5E-EA87-BFC7A6E93D5F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1" name="Line 20">
          <a:extLst>
            <a:ext uri="{FF2B5EF4-FFF2-40B4-BE49-F238E27FC236}">
              <a16:creationId xmlns:a16="http://schemas.microsoft.com/office/drawing/2014/main" id="{8D6D18E8-500C-D3BF-5C7D-A752883C6DD9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2" name="Line 21">
          <a:extLst>
            <a:ext uri="{FF2B5EF4-FFF2-40B4-BE49-F238E27FC236}">
              <a16:creationId xmlns:a16="http://schemas.microsoft.com/office/drawing/2014/main" id="{671020AD-6F22-39C6-468D-3A85BC8E6AA6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3" name="Line 22">
          <a:extLst>
            <a:ext uri="{FF2B5EF4-FFF2-40B4-BE49-F238E27FC236}">
              <a16:creationId xmlns:a16="http://schemas.microsoft.com/office/drawing/2014/main" id="{EEF8631D-C2C9-A97D-301D-2B0B57C8EB2D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4" name="Line 23">
          <a:extLst>
            <a:ext uri="{FF2B5EF4-FFF2-40B4-BE49-F238E27FC236}">
              <a16:creationId xmlns:a16="http://schemas.microsoft.com/office/drawing/2014/main" id="{4232B0B5-33E0-B101-6A8B-21B939B1317D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5" name="Line 24">
          <a:extLst>
            <a:ext uri="{FF2B5EF4-FFF2-40B4-BE49-F238E27FC236}">
              <a16:creationId xmlns:a16="http://schemas.microsoft.com/office/drawing/2014/main" id="{D164F654-3BFB-450A-7D3E-7A5EE90C90BF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6" name="Line 25">
          <a:extLst>
            <a:ext uri="{FF2B5EF4-FFF2-40B4-BE49-F238E27FC236}">
              <a16:creationId xmlns:a16="http://schemas.microsoft.com/office/drawing/2014/main" id="{F10EF410-539C-F647-A0E7-0FF28B70DD0F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A8C3CD22-B32C-A0D3-D69D-70265BD7E81C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5358" name="Line 27">
          <a:extLst>
            <a:ext uri="{FF2B5EF4-FFF2-40B4-BE49-F238E27FC236}">
              <a16:creationId xmlns:a16="http://schemas.microsoft.com/office/drawing/2014/main" id="{04242AD5-786E-CB50-734C-824754D89258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5359" name="Line 28">
          <a:extLst>
            <a:ext uri="{FF2B5EF4-FFF2-40B4-BE49-F238E27FC236}">
              <a16:creationId xmlns:a16="http://schemas.microsoft.com/office/drawing/2014/main" id="{A399027D-B623-6C2B-B74A-2CA34715EC7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12F131B4-7103-F9D5-3728-ADBB64B26DEE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1" name="Line 30">
          <a:extLst>
            <a:ext uri="{FF2B5EF4-FFF2-40B4-BE49-F238E27FC236}">
              <a16:creationId xmlns:a16="http://schemas.microsoft.com/office/drawing/2014/main" id="{677359E3-9FC2-66E5-503F-206BFAF5024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2" name="Line 31">
          <a:extLst>
            <a:ext uri="{FF2B5EF4-FFF2-40B4-BE49-F238E27FC236}">
              <a16:creationId xmlns:a16="http://schemas.microsoft.com/office/drawing/2014/main" id="{B1784194-CB6B-8E19-733F-32892C9918D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3" name="Line 32">
          <a:extLst>
            <a:ext uri="{FF2B5EF4-FFF2-40B4-BE49-F238E27FC236}">
              <a16:creationId xmlns:a16="http://schemas.microsoft.com/office/drawing/2014/main" id="{5FF4BC55-C0AD-3ED9-5771-4EE6A832DA7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4" name="Line 33">
          <a:extLst>
            <a:ext uri="{FF2B5EF4-FFF2-40B4-BE49-F238E27FC236}">
              <a16:creationId xmlns:a16="http://schemas.microsoft.com/office/drawing/2014/main" id="{15C495BE-F917-B365-AB8C-B225C99E6B9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5365" name="Rectangle 34">
          <a:extLst>
            <a:ext uri="{FF2B5EF4-FFF2-40B4-BE49-F238E27FC236}">
              <a16:creationId xmlns:a16="http://schemas.microsoft.com/office/drawing/2014/main" id="{F6B97866-4AF8-EE99-14F4-54DC86FD30DE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5366" name="Line 35">
          <a:extLst>
            <a:ext uri="{FF2B5EF4-FFF2-40B4-BE49-F238E27FC236}">
              <a16:creationId xmlns:a16="http://schemas.microsoft.com/office/drawing/2014/main" id="{A7A63B13-1E44-5F92-71BA-A034100D7017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5367" name="Line 36">
          <a:extLst>
            <a:ext uri="{FF2B5EF4-FFF2-40B4-BE49-F238E27FC236}">
              <a16:creationId xmlns:a16="http://schemas.microsoft.com/office/drawing/2014/main" id="{5E570FB2-6E87-0C21-870C-5D47D0CCC210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68" name="Line 37">
          <a:extLst>
            <a:ext uri="{FF2B5EF4-FFF2-40B4-BE49-F238E27FC236}">
              <a16:creationId xmlns:a16="http://schemas.microsoft.com/office/drawing/2014/main" id="{D9760C79-95A5-E9EA-67CC-69AC437A42E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69" name="Line 38">
          <a:extLst>
            <a:ext uri="{FF2B5EF4-FFF2-40B4-BE49-F238E27FC236}">
              <a16:creationId xmlns:a16="http://schemas.microsoft.com/office/drawing/2014/main" id="{E4F0373C-FB09-29CC-B8FA-1B9F36DE770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0" name="Line 39">
          <a:extLst>
            <a:ext uri="{FF2B5EF4-FFF2-40B4-BE49-F238E27FC236}">
              <a16:creationId xmlns:a16="http://schemas.microsoft.com/office/drawing/2014/main" id="{19B956FA-3FE8-EE98-BC83-E65EFD1517E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1" name="Line 40">
          <a:extLst>
            <a:ext uri="{FF2B5EF4-FFF2-40B4-BE49-F238E27FC236}">
              <a16:creationId xmlns:a16="http://schemas.microsoft.com/office/drawing/2014/main" id="{FF789A9D-02ED-10C0-6673-531FBE1589A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2" name="Line 41">
          <a:extLst>
            <a:ext uri="{FF2B5EF4-FFF2-40B4-BE49-F238E27FC236}">
              <a16:creationId xmlns:a16="http://schemas.microsoft.com/office/drawing/2014/main" id="{1636E192-D382-2503-DB6F-AF89302B070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3" name="Line 42">
          <a:extLst>
            <a:ext uri="{FF2B5EF4-FFF2-40B4-BE49-F238E27FC236}">
              <a16:creationId xmlns:a16="http://schemas.microsoft.com/office/drawing/2014/main" id="{CA1F0D75-2AF2-5FBB-7DA5-1A4F030AE22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4" name="Line 43">
          <a:extLst>
            <a:ext uri="{FF2B5EF4-FFF2-40B4-BE49-F238E27FC236}">
              <a16:creationId xmlns:a16="http://schemas.microsoft.com/office/drawing/2014/main" id="{A38421FA-D1F9-926F-BE86-F4625800DD1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5" name="Line 44">
          <a:extLst>
            <a:ext uri="{FF2B5EF4-FFF2-40B4-BE49-F238E27FC236}">
              <a16:creationId xmlns:a16="http://schemas.microsoft.com/office/drawing/2014/main" id="{7F89542A-4278-0921-8D1E-CE878884837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6" name="Line 45">
          <a:extLst>
            <a:ext uri="{FF2B5EF4-FFF2-40B4-BE49-F238E27FC236}">
              <a16:creationId xmlns:a16="http://schemas.microsoft.com/office/drawing/2014/main" id="{B0BDDE8A-B94E-FF37-8E2A-B8FC725F90E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7" name="Line 46">
          <a:extLst>
            <a:ext uri="{FF2B5EF4-FFF2-40B4-BE49-F238E27FC236}">
              <a16:creationId xmlns:a16="http://schemas.microsoft.com/office/drawing/2014/main" id="{CCE7096D-F922-C1DD-90F8-336A68FD8FD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5378" name="Line 47">
          <a:extLst>
            <a:ext uri="{FF2B5EF4-FFF2-40B4-BE49-F238E27FC236}">
              <a16:creationId xmlns:a16="http://schemas.microsoft.com/office/drawing/2014/main" id="{C7278FD0-1F80-7CD7-574C-2077DABD11AD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5379" name="Line 48">
          <a:extLst>
            <a:ext uri="{FF2B5EF4-FFF2-40B4-BE49-F238E27FC236}">
              <a16:creationId xmlns:a16="http://schemas.microsoft.com/office/drawing/2014/main" id="{01CEBAE1-C602-D33A-5F05-5C068B0AFDE9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80" name="Line 49">
          <a:extLst>
            <a:ext uri="{FF2B5EF4-FFF2-40B4-BE49-F238E27FC236}">
              <a16:creationId xmlns:a16="http://schemas.microsoft.com/office/drawing/2014/main" id="{BC6D9882-6759-3B43-240A-90597029AC5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5381" name="Line 50">
          <a:extLst>
            <a:ext uri="{FF2B5EF4-FFF2-40B4-BE49-F238E27FC236}">
              <a16:creationId xmlns:a16="http://schemas.microsoft.com/office/drawing/2014/main" id="{B6702B4A-2471-E778-C94D-A0A51FDE4954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5382" name="Line 51">
          <a:extLst>
            <a:ext uri="{FF2B5EF4-FFF2-40B4-BE49-F238E27FC236}">
              <a16:creationId xmlns:a16="http://schemas.microsoft.com/office/drawing/2014/main" id="{9F7DE208-BF85-E033-68EF-D6532FC0F866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83" name="Line 52">
          <a:extLst>
            <a:ext uri="{FF2B5EF4-FFF2-40B4-BE49-F238E27FC236}">
              <a16:creationId xmlns:a16="http://schemas.microsoft.com/office/drawing/2014/main" id="{9DD4971D-71CC-DE11-E3C8-758FBDE46CD5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84" name="Line 53">
          <a:extLst>
            <a:ext uri="{FF2B5EF4-FFF2-40B4-BE49-F238E27FC236}">
              <a16:creationId xmlns:a16="http://schemas.microsoft.com/office/drawing/2014/main" id="{2D721605-0FE9-745F-2DCA-D2ACCD3A3C3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85" name="Line 54">
          <a:extLst>
            <a:ext uri="{FF2B5EF4-FFF2-40B4-BE49-F238E27FC236}">
              <a16:creationId xmlns:a16="http://schemas.microsoft.com/office/drawing/2014/main" id="{E58B5BB6-EAE6-5F9D-A5AE-B8984038D888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5386" name="Line 55">
          <a:extLst>
            <a:ext uri="{FF2B5EF4-FFF2-40B4-BE49-F238E27FC236}">
              <a16:creationId xmlns:a16="http://schemas.microsoft.com/office/drawing/2014/main" id="{C41A8798-7FBF-CAE5-52E7-87CD85F23C0F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869C53CE-C53B-8029-AA0A-EE0BBF010CD5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BF1AB38D-0302-7567-9CAF-8C572CA740C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F0C8F1DF-A89C-E36A-63E3-4141113E07F7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FE5423FC-4F15-5BB1-3831-D186E15BF49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1532B01E-8459-02E1-9B92-592A55B87D72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1DD33DF5-555B-8C0E-B2EA-AE50D3D1933F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5393" name="Line 62">
          <a:extLst>
            <a:ext uri="{FF2B5EF4-FFF2-40B4-BE49-F238E27FC236}">
              <a16:creationId xmlns:a16="http://schemas.microsoft.com/office/drawing/2014/main" id="{9A711814-A3D1-0A41-84D2-4EF50B2B6384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5394" name="Line 63">
          <a:extLst>
            <a:ext uri="{FF2B5EF4-FFF2-40B4-BE49-F238E27FC236}">
              <a16:creationId xmlns:a16="http://schemas.microsoft.com/office/drawing/2014/main" id="{B77AA641-D74E-F827-6C10-418DFECE7119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5395" name="Line 64">
          <a:extLst>
            <a:ext uri="{FF2B5EF4-FFF2-40B4-BE49-F238E27FC236}">
              <a16:creationId xmlns:a16="http://schemas.microsoft.com/office/drawing/2014/main" id="{B6F82A44-D747-A8AE-7FDD-3615EE54858C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5396" name="Line 65">
          <a:extLst>
            <a:ext uri="{FF2B5EF4-FFF2-40B4-BE49-F238E27FC236}">
              <a16:creationId xmlns:a16="http://schemas.microsoft.com/office/drawing/2014/main" id="{5A0F384F-A5CB-7D4A-FECE-6C44936723FD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5397" name="Line 66">
          <a:extLst>
            <a:ext uri="{FF2B5EF4-FFF2-40B4-BE49-F238E27FC236}">
              <a16:creationId xmlns:a16="http://schemas.microsoft.com/office/drawing/2014/main" id="{661F6558-BA54-FE7B-4EE7-59D717ACA174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5398" name="Line 67">
          <a:extLst>
            <a:ext uri="{FF2B5EF4-FFF2-40B4-BE49-F238E27FC236}">
              <a16:creationId xmlns:a16="http://schemas.microsoft.com/office/drawing/2014/main" id="{5B44B683-E96C-C20B-9F90-6AA4EE8E37E9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72D51706-C46E-8F3B-35CA-560BB2779BD4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5400" name="Line 69">
          <a:extLst>
            <a:ext uri="{FF2B5EF4-FFF2-40B4-BE49-F238E27FC236}">
              <a16:creationId xmlns:a16="http://schemas.microsoft.com/office/drawing/2014/main" id="{0D8D8DBB-AD8A-E89C-4665-483AF11157B3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09AF4501-CBF9-3FF7-E981-6C029C457B64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5402" name="Line 71">
          <a:extLst>
            <a:ext uri="{FF2B5EF4-FFF2-40B4-BE49-F238E27FC236}">
              <a16:creationId xmlns:a16="http://schemas.microsoft.com/office/drawing/2014/main" id="{9E2F33DB-4177-999A-0834-74A6015D4559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5403" name="Line 72">
          <a:extLst>
            <a:ext uri="{FF2B5EF4-FFF2-40B4-BE49-F238E27FC236}">
              <a16:creationId xmlns:a16="http://schemas.microsoft.com/office/drawing/2014/main" id="{3070FB15-AFB1-7499-32D2-64AF47C18EFC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5404" name="Line 73">
          <a:extLst>
            <a:ext uri="{FF2B5EF4-FFF2-40B4-BE49-F238E27FC236}">
              <a16:creationId xmlns:a16="http://schemas.microsoft.com/office/drawing/2014/main" id="{0CAC54E4-D7AA-6AE1-1DD7-A94BC15FA04A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FAC30E0D-D09A-EDBC-2D5F-EF81E509C887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8473F4BE-AEC7-35EF-AA79-C11969613B52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2FAB2979-A599-12F9-9D33-FEBA9EA7AB31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873956E5-DCBD-C9FA-9B51-E43CAB545DBB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5409" name="Line 78">
          <a:extLst>
            <a:ext uri="{FF2B5EF4-FFF2-40B4-BE49-F238E27FC236}">
              <a16:creationId xmlns:a16="http://schemas.microsoft.com/office/drawing/2014/main" id="{AB966C85-4ADF-B4F6-A344-262B2AFDB9DD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5410" name="Line 79">
          <a:extLst>
            <a:ext uri="{FF2B5EF4-FFF2-40B4-BE49-F238E27FC236}">
              <a16:creationId xmlns:a16="http://schemas.microsoft.com/office/drawing/2014/main" id="{FDFB0ACE-7591-314D-6D0C-2E0B21A21D5B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5411" name="Line 80">
          <a:extLst>
            <a:ext uri="{FF2B5EF4-FFF2-40B4-BE49-F238E27FC236}">
              <a16:creationId xmlns:a16="http://schemas.microsoft.com/office/drawing/2014/main" id="{3F0C47AA-5BD7-C678-E8E2-3BA0839110C5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5412" name="Line 81">
          <a:extLst>
            <a:ext uri="{FF2B5EF4-FFF2-40B4-BE49-F238E27FC236}">
              <a16:creationId xmlns:a16="http://schemas.microsoft.com/office/drawing/2014/main" id="{1B96BB8B-8D51-C487-F30E-1C0BFADF5FAB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5413" name="Line 82">
          <a:extLst>
            <a:ext uri="{FF2B5EF4-FFF2-40B4-BE49-F238E27FC236}">
              <a16:creationId xmlns:a16="http://schemas.microsoft.com/office/drawing/2014/main" id="{74A03920-F3A6-2C5D-C9D4-17670B1BBED0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5414" name="Line 83">
          <a:extLst>
            <a:ext uri="{FF2B5EF4-FFF2-40B4-BE49-F238E27FC236}">
              <a16:creationId xmlns:a16="http://schemas.microsoft.com/office/drawing/2014/main" id="{23C84B01-9E5A-32BB-B6BB-708271C5BF53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2ABF5B44-FCDE-3F47-102A-4316C6847962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5416" name="Line 85">
          <a:extLst>
            <a:ext uri="{FF2B5EF4-FFF2-40B4-BE49-F238E27FC236}">
              <a16:creationId xmlns:a16="http://schemas.microsoft.com/office/drawing/2014/main" id="{EB70BABC-10D6-3F3B-6B2B-929AD7E822F5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5417" name="Line 86">
          <a:extLst>
            <a:ext uri="{FF2B5EF4-FFF2-40B4-BE49-F238E27FC236}">
              <a16:creationId xmlns:a16="http://schemas.microsoft.com/office/drawing/2014/main" id="{7FE849E3-D748-67E3-1CEE-BAC7BCC7469D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4F917A5A-56EB-8300-D7F8-8231127C3D24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5419" name="Line 88">
          <a:extLst>
            <a:ext uri="{FF2B5EF4-FFF2-40B4-BE49-F238E27FC236}">
              <a16:creationId xmlns:a16="http://schemas.microsoft.com/office/drawing/2014/main" id="{DCF998F2-EB18-8DA9-9F7A-45475E9851B8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5420" name="Line 89">
          <a:extLst>
            <a:ext uri="{FF2B5EF4-FFF2-40B4-BE49-F238E27FC236}">
              <a16:creationId xmlns:a16="http://schemas.microsoft.com/office/drawing/2014/main" id="{40252E74-8315-4B34-399E-1E21A48C436F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5421" name="Line 90">
          <a:extLst>
            <a:ext uri="{FF2B5EF4-FFF2-40B4-BE49-F238E27FC236}">
              <a16:creationId xmlns:a16="http://schemas.microsoft.com/office/drawing/2014/main" id="{717CC179-7C08-F1E8-75AC-EB0D47B169B3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5422" name="Line 91">
          <a:extLst>
            <a:ext uri="{FF2B5EF4-FFF2-40B4-BE49-F238E27FC236}">
              <a16:creationId xmlns:a16="http://schemas.microsoft.com/office/drawing/2014/main" id="{D6F72B60-2769-A274-048F-BF9BEE9CF424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5423" name="Line 92">
          <a:extLst>
            <a:ext uri="{FF2B5EF4-FFF2-40B4-BE49-F238E27FC236}">
              <a16:creationId xmlns:a16="http://schemas.microsoft.com/office/drawing/2014/main" id="{B9961944-6293-53E4-F5D1-1F895CFD05EB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5424" name="AutoShape 93" descr="Stationery">
          <a:extLst>
            <a:ext uri="{FF2B5EF4-FFF2-40B4-BE49-F238E27FC236}">
              <a16:creationId xmlns:a16="http://schemas.microsoft.com/office/drawing/2014/main" id="{2F4E10D8-E560-6956-C2FD-A9DEE6DA3A1F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5425" name="Line 94">
          <a:extLst>
            <a:ext uri="{FF2B5EF4-FFF2-40B4-BE49-F238E27FC236}">
              <a16:creationId xmlns:a16="http://schemas.microsoft.com/office/drawing/2014/main" id="{F1B5EDD0-0C78-57C7-A631-9F696418F22D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5426" name="Line 95">
          <a:extLst>
            <a:ext uri="{FF2B5EF4-FFF2-40B4-BE49-F238E27FC236}">
              <a16:creationId xmlns:a16="http://schemas.microsoft.com/office/drawing/2014/main" id="{ADBB0520-B31A-3DA6-5627-A39CD685591C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B48A1EA8-C534-C111-D4A0-F51EB2BA933C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67F2B38B-1D21-F3AA-9C7A-25AD9BB07E2D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5429" name="Line 98">
          <a:extLst>
            <a:ext uri="{FF2B5EF4-FFF2-40B4-BE49-F238E27FC236}">
              <a16:creationId xmlns:a16="http://schemas.microsoft.com/office/drawing/2014/main" id="{F34BFFB1-E3D3-7F67-CE4E-DE1A4711170B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5430" name="Line 99">
          <a:extLst>
            <a:ext uri="{FF2B5EF4-FFF2-40B4-BE49-F238E27FC236}">
              <a16:creationId xmlns:a16="http://schemas.microsoft.com/office/drawing/2014/main" id="{9A27E6BC-B212-0D59-6A6E-E4320100F68D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5431" name="Line 100">
          <a:extLst>
            <a:ext uri="{FF2B5EF4-FFF2-40B4-BE49-F238E27FC236}">
              <a16:creationId xmlns:a16="http://schemas.microsoft.com/office/drawing/2014/main" id="{816DC613-962B-B6D3-9AF8-DCE6DF169015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5432" name="Line 101">
          <a:extLst>
            <a:ext uri="{FF2B5EF4-FFF2-40B4-BE49-F238E27FC236}">
              <a16:creationId xmlns:a16="http://schemas.microsoft.com/office/drawing/2014/main" id="{216762AA-0498-4F14-DB37-E5A798E99DD4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33" name="Line 102">
          <a:extLst>
            <a:ext uri="{FF2B5EF4-FFF2-40B4-BE49-F238E27FC236}">
              <a16:creationId xmlns:a16="http://schemas.microsoft.com/office/drawing/2014/main" id="{169D51A7-922E-7D60-84AD-A2352A357DBD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260C8C9A-C749-5E40-037F-DF5F041EC6A6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5435" name="Line 104">
          <a:extLst>
            <a:ext uri="{FF2B5EF4-FFF2-40B4-BE49-F238E27FC236}">
              <a16:creationId xmlns:a16="http://schemas.microsoft.com/office/drawing/2014/main" id="{DC594E04-71C6-40B9-A021-10F8B738880A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702375EC-AD4A-F970-C4A2-88BC505149E8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5437" name="Line 106">
          <a:extLst>
            <a:ext uri="{FF2B5EF4-FFF2-40B4-BE49-F238E27FC236}">
              <a16:creationId xmlns:a16="http://schemas.microsoft.com/office/drawing/2014/main" id="{CFA1E7FA-C9A3-9052-BEB4-A8C00E81DE59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8DE4D4FB-0890-0FB3-CFCE-892E6F8CE6CA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5439" name="Freeform 108">
          <a:extLst>
            <a:ext uri="{FF2B5EF4-FFF2-40B4-BE49-F238E27FC236}">
              <a16:creationId xmlns:a16="http://schemas.microsoft.com/office/drawing/2014/main" id="{65CE2BA1-E1B0-C6CD-04F7-546F725BA818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5440" name="Line 109">
          <a:extLst>
            <a:ext uri="{FF2B5EF4-FFF2-40B4-BE49-F238E27FC236}">
              <a16:creationId xmlns:a16="http://schemas.microsoft.com/office/drawing/2014/main" id="{D42B465F-A8CF-3583-35B0-0E6958307D5F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5441" name="Line 110">
          <a:extLst>
            <a:ext uri="{FF2B5EF4-FFF2-40B4-BE49-F238E27FC236}">
              <a16:creationId xmlns:a16="http://schemas.microsoft.com/office/drawing/2014/main" id="{62997C88-3161-4E2D-5EF7-5C0BBD9A7663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5442" name="Line 111">
          <a:extLst>
            <a:ext uri="{FF2B5EF4-FFF2-40B4-BE49-F238E27FC236}">
              <a16:creationId xmlns:a16="http://schemas.microsoft.com/office/drawing/2014/main" id="{4A2EEBE2-0C98-90F8-043B-40036B807D6D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5443" name="Line 112">
          <a:extLst>
            <a:ext uri="{FF2B5EF4-FFF2-40B4-BE49-F238E27FC236}">
              <a16:creationId xmlns:a16="http://schemas.microsoft.com/office/drawing/2014/main" id="{9BF8E243-A813-CE2B-2023-1E228DA57A9D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5444" name="Line 113">
          <a:extLst>
            <a:ext uri="{FF2B5EF4-FFF2-40B4-BE49-F238E27FC236}">
              <a16:creationId xmlns:a16="http://schemas.microsoft.com/office/drawing/2014/main" id="{2358041E-4241-467E-BB6F-20A8AFCBA6FC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5445" name="Line 114">
          <a:extLst>
            <a:ext uri="{FF2B5EF4-FFF2-40B4-BE49-F238E27FC236}">
              <a16:creationId xmlns:a16="http://schemas.microsoft.com/office/drawing/2014/main" id="{4F2F951D-8056-E6A1-D89C-DCF389D8B04A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5446" name="Line 115">
          <a:extLst>
            <a:ext uri="{FF2B5EF4-FFF2-40B4-BE49-F238E27FC236}">
              <a16:creationId xmlns:a16="http://schemas.microsoft.com/office/drawing/2014/main" id="{C9002C37-9E6B-3313-A531-FE3A711EAD71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5447" name="Line 116">
          <a:extLst>
            <a:ext uri="{FF2B5EF4-FFF2-40B4-BE49-F238E27FC236}">
              <a16:creationId xmlns:a16="http://schemas.microsoft.com/office/drawing/2014/main" id="{754769AF-D395-B4BC-E972-5DD553544886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5448" name="Line 117">
          <a:extLst>
            <a:ext uri="{FF2B5EF4-FFF2-40B4-BE49-F238E27FC236}">
              <a16:creationId xmlns:a16="http://schemas.microsoft.com/office/drawing/2014/main" id="{E99001CD-1BCB-C781-64CC-B1F6815F8A23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5449" name="Line 118">
          <a:extLst>
            <a:ext uri="{FF2B5EF4-FFF2-40B4-BE49-F238E27FC236}">
              <a16:creationId xmlns:a16="http://schemas.microsoft.com/office/drawing/2014/main" id="{E6838096-26D9-A363-3B6D-6D7E51FEEA66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0" name="Line 119">
          <a:extLst>
            <a:ext uri="{FF2B5EF4-FFF2-40B4-BE49-F238E27FC236}">
              <a16:creationId xmlns:a16="http://schemas.microsoft.com/office/drawing/2014/main" id="{A1D1D286-4765-0E40-6A3F-1909EA026101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1" name="Line 120">
          <a:extLst>
            <a:ext uri="{FF2B5EF4-FFF2-40B4-BE49-F238E27FC236}">
              <a16:creationId xmlns:a16="http://schemas.microsoft.com/office/drawing/2014/main" id="{38EFA49B-AF94-7BBB-1978-D356F744ABDC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2" name="Line 121">
          <a:extLst>
            <a:ext uri="{FF2B5EF4-FFF2-40B4-BE49-F238E27FC236}">
              <a16:creationId xmlns:a16="http://schemas.microsoft.com/office/drawing/2014/main" id="{57BB4278-D578-9818-3C58-CAB88A03AD47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5453" name="Line 122">
          <a:extLst>
            <a:ext uri="{FF2B5EF4-FFF2-40B4-BE49-F238E27FC236}">
              <a16:creationId xmlns:a16="http://schemas.microsoft.com/office/drawing/2014/main" id="{8D5A445B-D3EA-60D8-D0CC-A56B7141D4B2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5454" name="Line 123">
          <a:extLst>
            <a:ext uri="{FF2B5EF4-FFF2-40B4-BE49-F238E27FC236}">
              <a16:creationId xmlns:a16="http://schemas.microsoft.com/office/drawing/2014/main" id="{00E10975-00AE-15FF-C942-1C390F01BCA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5455" name="Line 124">
          <a:extLst>
            <a:ext uri="{FF2B5EF4-FFF2-40B4-BE49-F238E27FC236}">
              <a16:creationId xmlns:a16="http://schemas.microsoft.com/office/drawing/2014/main" id="{5DFDB2C1-5DF7-6ADB-C9A7-3B5BB74ADA77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5456" name="Line 125">
          <a:extLst>
            <a:ext uri="{FF2B5EF4-FFF2-40B4-BE49-F238E27FC236}">
              <a16:creationId xmlns:a16="http://schemas.microsoft.com/office/drawing/2014/main" id="{E68B6BA4-B241-FBEC-50C8-2B1039DBA13F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5457" name="Line 126">
          <a:extLst>
            <a:ext uri="{FF2B5EF4-FFF2-40B4-BE49-F238E27FC236}">
              <a16:creationId xmlns:a16="http://schemas.microsoft.com/office/drawing/2014/main" id="{BCD60DEA-350A-F989-2C54-0EA95F77CD7C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5458" name="Group 127">
          <a:extLst>
            <a:ext uri="{FF2B5EF4-FFF2-40B4-BE49-F238E27FC236}">
              <a16:creationId xmlns:a16="http://schemas.microsoft.com/office/drawing/2014/main" id="{2887311D-4ACC-526E-C42C-653625DDF7C3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5526" name="Oval 128">
            <a:extLst>
              <a:ext uri="{FF2B5EF4-FFF2-40B4-BE49-F238E27FC236}">
                <a16:creationId xmlns:a16="http://schemas.microsoft.com/office/drawing/2014/main" id="{60334CF7-CBFE-6DB7-AC66-377BCF20F78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7" name="Line 129">
            <a:extLst>
              <a:ext uri="{FF2B5EF4-FFF2-40B4-BE49-F238E27FC236}">
                <a16:creationId xmlns:a16="http://schemas.microsoft.com/office/drawing/2014/main" id="{F0C9567D-9F78-5B15-D06C-E190D496B6C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5459" name="Group 130">
          <a:extLst>
            <a:ext uri="{FF2B5EF4-FFF2-40B4-BE49-F238E27FC236}">
              <a16:creationId xmlns:a16="http://schemas.microsoft.com/office/drawing/2014/main" id="{2A82ED7A-A264-AA2A-1B07-A2224E4C6928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5524" name="Oval 131">
            <a:extLst>
              <a:ext uri="{FF2B5EF4-FFF2-40B4-BE49-F238E27FC236}">
                <a16:creationId xmlns:a16="http://schemas.microsoft.com/office/drawing/2014/main" id="{5D6CECA7-F88B-8C72-1EF2-D080B417158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5" name="Line 132">
            <a:extLst>
              <a:ext uri="{FF2B5EF4-FFF2-40B4-BE49-F238E27FC236}">
                <a16:creationId xmlns:a16="http://schemas.microsoft.com/office/drawing/2014/main" id="{B9BAFF02-FDBD-4FA0-E879-ACAB22C342E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5460" name="Group 133">
          <a:extLst>
            <a:ext uri="{FF2B5EF4-FFF2-40B4-BE49-F238E27FC236}">
              <a16:creationId xmlns:a16="http://schemas.microsoft.com/office/drawing/2014/main" id="{0BA46540-7D0C-E3E2-A135-C642449BECF2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5522" name="Oval 134">
            <a:extLst>
              <a:ext uri="{FF2B5EF4-FFF2-40B4-BE49-F238E27FC236}">
                <a16:creationId xmlns:a16="http://schemas.microsoft.com/office/drawing/2014/main" id="{465A9CD8-4498-0F6D-44D1-D166F5DA0AA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3" name="Line 135">
            <a:extLst>
              <a:ext uri="{FF2B5EF4-FFF2-40B4-BE49-F238E27FC236}">
                <a16:creationId xmlns:a16="http://schemas.microsoft.com/office/drawing/2014/main" id="{96AFAA7E-3A65-A436-09B3-7E36DC556D0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5461" name="Group 136">
          <a:extLst>
            <a:ext uri="{FF2B5EF4-FFF2-40B4-BE49-F238E27FC236}">
              <a16:creationId xmlns:a16="http://schemas.microsoft.com/office/drawing/2014/main" id="{F4CD1F70-1359-4DBE-1889-7A440B609053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5520" name="Oval 137">
            <a:extLst>
              <a:ext uri="{FF2B5EF4-FFF2-40B4-BE49-F238E27FC236}">
                <a16:creationId xmlns:a16="http://schemas.microsoft.com/office/drawing/2014/main" id="{1625DBEE-11E6-CCB4-5EF0-113D2C2A544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1" name="Line 138">
            <a:extLst>
              <a:ext uri="{FF2B5EF4-FFF2-40B4-BE49-F238E27FC236}">
                <a16:creationId xmlns:a16="http://schemas.microsoft.com/office/drawing/2014/main" id="{A1966A47-4EE2-7489-6B4C-3088E90ADD0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5462" name="Group 139">
          <a:extLst>
            <a:ext uri="{FF2B5EF4-FFF2-40B4-BE49-F238E27FC236}">
              <a16:creationId xmlns:a16="http://schemas.microsoft.com/office/drawing/2014/main" id="{D3130135-6328-6DB9-0938-F82CD27CA1C4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5518" name="Oval 140">
            <a:extLst>
              <a:ext uri="{FF2B5EF4-FFF2-40B4-BE49-F238E27FC236}">
                <a16:creationId xmlns:a16="http://schemas.microsoft.com/office/drawing/2014/main" id="{208DA83C-9FBA-A256-A983-F5992926A82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9" name="Line 141">
            <a:extLst>
              <a:ext uri="{FF2B5EF4-FFF2-40B4-BE49-F238E27FC236}">
                <a16:creationId xmlns:a16="http://schemas.microsoft.com/office/drawing/2014/main" id="{4D533178-8FA8-3272-4987-94A1588F1D1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5463" name="Group 142">
          <a:extLst>
            <a:ext uri="{FF2B5EF4-FFF2-40B4-BE49-F238E27FC236}">
              <a16:creationId xmlns:a16="http://schemas.microsoft.com/office/drawing/2014/main" id="{F99D3865-3F7E-5D52-D109-7A66E252D6C0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5516" name="Oval 143">
            <a:extLst>
              <a:ext uri="{FF2B5EF4-FFF2-40B4-BE49-F238E27FC236}">
                <a16:creationId xmlns:a16="http://schemas.microsoft.com/office/drawing/2014/main" id="{739B62D3-D49B-EF4B-4222-E42C8C7C7A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7" name="Line 144">
            <a:extLst>
              <a:ext uri="{FF2B5EF4-FFF2-40B4-BE49-F238E27FC236}">
                <a16:creationId xmlns:a16="http://schemas.microsoft.com/office/drawing/2014/main" id="{94586069-9DDC-FD30-E44D-F2D7FE86FA3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5464" name="Group 145">
          <a:extLst>
            <a:ext uri="{FF2B5EF4-FFF2-40B4-BE49-F238E27FC236}">
              <a16:creationId xmlns:a16="http://schemas.microsoft.com/office/drawing/2014/main" id="{0F5BE7D0-2070-0782-3ADC-1F357A6048E3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5514" name="Oval 146">
            <a:extLst>
              <a:ext uri="{FF2B5EF4-FFF2-40B4-BE49-F238E27FC236}">
                <a16:creationId xmlns:a16="http://schemas.microsoft.com/office/drawing/2014/main" id="{6616A0F9-D026-354A-CBF5-072D3D72684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5" name="Line 147">
            <a:extLst>
              <a:ext uri="{FF2B5EF4-FFF2-40B4-BE49-F238E27FC236}">
                <a16:creationId xmlns:a16="http://schemas.microsoft.com/office/drawing/2014/main" id="{907853AE-24B8-F9A4-DE37-20837D5876A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D8B55545-4F70-7A27-845E-89938031CDD2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5466" name="Line 149">
          <a:extLst>
            <a:ext uri="{FF2B5EF4-FFF2-40B4-BE49-F238E27FC236}">
              <a16:creationId xmlns:a16="http://schemas.microsoft.com/office/drawing/2014/main" id="{CC0612EA-BAF5-5EF1-8B8F-F791657C9B54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5467" name="Line 150">
          <a:extLst>
            <a:ext uri="{FF2B5EF4-FFF2-40B4-BE49-F238E27FC236}">
              <a16:creationId xmlns:a16="http://schemas.microsoft.com/office/drawing/2014/main" id="{6EA34673-12FF-49AE-29E7-0862FB40538D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8A814A92-BE0D-4FE1-1300-51777FEE4A03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5469" name="Line 153">
          <a:extLst>
            <a:ext uri="{FF2B5EF4-FFF2-40B4-BE49-F238E27FC236}">
              <a16:creationId xmlns:a16="http://schemas.microsoft.com/office/drawing/2014/main" id="{177B7237-F478-F581-71B3-B563046CA75E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5470" name="Line 154">
          <a:extLst>
            <a:ext uri="{FF2B5EF4-FFF2-40B4-BE49-F238E27FC236}">
              <a16:creationId xmlns:a16="http://schemas.microsoft.com/office/drawing/2014/main" id="{2A6917B2-2ED8-0B88-CACC-6CC1CF2F0277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5471" name="Freeform 155">
          <a:extLst>
            <a:ext uri="{FF2B5EF4-FFF2-40B4-BE49-F238E27FC236}">
              <a16:creationId xmlns:a16="http://schemas.microsoft.com/office/drawing/2014/main" id="{586AC9A0-44B8-0DB6-49A5-E5E7DD09C737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5472" name="Line 156">
          <a:extLst>
            <a:ext uri="{FF2B5EF4-FFF2-40B4-BE49-F238E27FC236}">
              <a16:creationId xmlns:a16="http://schemas.microsoft.com/office/drawing/2014/main" id="{72FECD3E-011F-B98A-D34C-7A2DFAC0BA92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5473" name="Line 157">
          <a:extLst>
            <a:ext uri="{FF2B5EF4-FFF2-40B4-BE49-F238E27FC236}">
              <a16:creationId xmlns:a16="http://schemas.microsoft.com/office/drawing/2014/main" id="{4A7603D5-4A85-7899-D1AA-D6D944694452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5474" name="Line 158">
          <a:extLst>
            <a:ext uri="{FF2B5EF4-FFF2-40B4-BE49-F238E27FC236}">
              <a16:creationId xmlns:a16="http://schemas.microsoft.com/office/drawing/2014/main" id="{586FB0AC-9D30-5AFB-3AF2-1F79AC6E62CE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5475" name="Line 160">
          <a:extLst>
            <a:ext uri="{FF2B5EF4-FFF2-40B4-BE49-F238E27FC236}">
              <a16:creationId xmlns:a16="http://schemas.microsoft.com/office/drawing/2014/main" id="{4E631C2B-C507-AB02-32F2-C4B403487C05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5476" name="Line 161">
          <a:extLst>
            <a:ext uri="{FF2B5EF4-FFF2-40B4-BE49-F238E27FC236}">
              <a16:creationId xmlns:a16="http://schemas.microsoft.com/office/drawing/2014/main" id="{FD449692-C57F-90CB-D02A-85173A00BD09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5477" name="Line 162">
          <a:extLst>
            <a:ext uri="{FF2B5EF4-FFF2-40B4-BE49-F238E27FC236}">
              <a16:creationId xmlns:a16="http://schemas.microsoft.com/office/drawing/2014/main" id="{CC10E769-310A-B7B4-BE85-D0BB7ECCFB6E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5478" name="Line 163">
          <a:extLst>
            <a:ext uri="{FF2B5EF4-FFF2-40B4-BE49-F238E27FC236}">
              <a16:creationId xmlns:a16="http://schemas.microsoft.com/office/drawing/2014/main" id="{024759D2-7BAD-4675-963B-C47E26D28E91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5479" name="Line 164">
          <a:extLst>
            <a:ext uri="{FF2B5EF4-FFF2-40B4-BE49-F238E27FC236}">
              <a16:creationId xmlns:a16="http://schemas.microsoft.com/office/drawing/2014/main" id="{A3E419F0-6216-C0AF-4271-7EC27139E6BE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5480" name="Line 165">
          <a:extLst>
            <a:ext uri="{FF2B5EF4-FFF2-40B4-BE49-F238E27FC236}">
              <a16:creationId xmlns:a16="http://schemas.microsoft.com/office/drawing/2014/main" id="{0B42FF59-0BFF-AC82-291C-23082A41345D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C188B765-7B79-6700-A789-1FF097CA2E46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C3E4B967-921D-EAC6-AC0A-19BA31D759F2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5483" name="Line 2509">
          <a:extLst>
            <a:ext uri="{FF2B5EF4-FFF2-40B4-BE49-F238E27FC236}">
              <a16:creationId xmlns:a16="http://schemas.microsoft.com/office/drawing/2014/main" id="{CF270435-119E-2179-9010-FD2547313DFD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0287F4CD-C5F2-4735-249E-59194F8B2CBF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6E40A9DD-F6BB-76F6-B35A-4DBCAE95E2EF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5486" name="Group 183">
          <a:extLst>
            <a:ext uri="{FF2B5EF4-FFF2-40B4-BE49-F238E27FC236}">
              <a16:creationId xmlns:a16="http://schemas.microsoft.com/office/drawing/2014/main" id="{2529DB67-ECD0-1B78-14FB-2FF916F6D4BD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DB45C11D-D39E-72DC-9D7A-358AE52ECC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5506" name="Line 2507">
            <a:extLst>
              <a:ext uri="{FF2B5EF4-FFF2-40B4-BE49-F238E27FC236}">
                <a16:creationId xmlns:a16="http://schemas.microsoft.com/office/drawing/2014/main" id="{5FA87968-BCAE-F851-545F-69F5FE4E70AA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3B49991B-3559-151B-3205-C1B54DB0B992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E2322048-936A-1EC9-76F9-7D9FEC4CB47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A1028C15-0D2B-E509-37FF-0A4730CCAB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9371E86A-B47E-BFE1-0DBF-D85838AC36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AF6D73C1-FE14-DC56-85AD-B48FB898D1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5512" name="Line 2515">
            <a:extLst>
              <a:ext uri="{FF2B5EF4-FFF2-40B4-BE49-F238E27FC236}">
                <a16:creationId xmlns:a16="http://schemas.microsoft.com/office/drawing/2014/main" id="{A45005E4-CCBD-CA12-5B52-292C89A56AF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0625E1AA-BB4D-0F9E-06BA-C5F2DC5007EE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D49AD11E-4ABC-4914-C564-BE76F02062B9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466A0AAF-F947-FED4-AB15-556CC3CCFF8C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EFEC6410-701A-FDAA-E166-E8811BAD73F5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CC0B2DF1-C3D9-8EDA-E18D-101ECECBFB25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5E8F72D1-3FB5-AF12-B873-12A72B1502E6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3B302FF3-5715-612B-F025-244A40978DCB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5493" name="Line 2515">
          <a:extLst>
            <a:ext uri="{FF2B5EF4-FFF2-40B4-BE49-F238E27FC236}">
              <a16:creationId xmlns:a16="http://schemas.microsoft.com/office/drawing/2014/main" id="{EB6F2BF1-9848-3258-8726-D76745DD7870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72A49F42-8226-E001-0B3C-F25786B4F13F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96D5B2C2-1F0D-2665-2221-DAAE965A39E8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C6478DB0-0E7E-D96B-4E4E-09E294AC223B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E9355E55-96D8-0293-CE1A-5F6A08EE12F4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8E455B50-0AFB-C159-0309-055253414164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3195281E-4E56-0CCF-F52D-6F711095E4BE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23D5AE57-F77B-17DF-3212-E18F61A095A3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F582B0EB-7104-31F4-D4DA-A1AD9B6B57DE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CA502556-7F5D-93F7-CED2-672DB27F5DF7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886C73AF-0A07-B081-0BB8-8890EA22D89C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2831EC80-722D-E564-7D2F-CF88DD73F814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6356" name="Rectangle 1">
          <a:extLst>
            <a:ext uri="{FF2B5EF4-FFF2-40B4-BE49-F238E27FC236}">
              <a16:creationId xmlns:a16="http://schemas.microsoft.com/office/drawing/2014/main" id="{5B3239E1-2704-A344-3062-E3EEAA244186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6357" name="Line 2">
          <a:extLst>
            <a:ext uri="{FF2B5EF4-FFF2-40B4-BE49-F238E27FC236}">
              <a16:creationId xmlns:a16="http://schemas.microsoft.com/office/drawing/2014/main" id="{D935CC7D-814D-5C99-AB38-B7995D0D7F9F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6358" name="Line 3">
          <a:extLst>
            <a:ext uri="{FF2B5EF4-FFF2-40B4-BE49-F238E27FC236}">
              <a16:creationId xmlns:a16="http://schemas.microsoft.com/office/drawing/2014/main" id="{3D68D9D6-4791-63A6-7871-48397BA5C3C4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59" name="Line 4">
          <a:extLst>
            <a:ext uri="{FF2B5EF4-FFF2-40B4-BE49-F238E27FC236}">
              <a16:creationId xmlns:a16="http://schemas.microsoft.com/office/drawing/2014/main" id="{B7DEA496-9EA7-9979-626B-BE33A4F4E64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0" name="Line 5">
          <a:extLst>
            <a:ext uri="{FF2B5EF4-FFF2-40B4-BE49-F238E27FC236}">
              <a16:creationId xmlns:a16="http://schemas.microsoft.com/office/drawing/2014/main" id="{4A2DD7FA-065A-8E26-3918-45671D9876A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1" name="Line 6">
          <a:extLst>
            <a:ext uri="{FF2B5EF4-FFF2-40B4-BE49-F238E27FC236}">
              <a16:creationId xmlns:a16="http://schemas.microsoft.com/office/drawing/2014/main" id="{6C1484DC-9A32-CDCE-DA2F-3BAAB880A3C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2" name="Line 7">
          <a:extLst>
            <a:ext uri="{FF2B5EF4-FFF2-40B4-BE49-F238E27FC236}">
              <a16:creationId xmlns:a16="http://schemas.microsoft.com/office/drawing/2014/main" id="{D6FD3CEC-6BA1-41B0-625A-065908D27C5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3" name="Line 8">
          <a:extLst>
            <a:ext uri="{FF2B5EF4-FFF2-40B4-BE49-F238E27FC236}">
              <a16:creationId xmlns:a16="http://schemas.microsoft.com/office/drawing/2014/main" id="{CC80C0AF-92CF-BE71-3356-2AAF0BE913D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4" name="Line 9">
          <a:extLst>
            <a:ext uri="{FF2B5EF4-FFF2-40B4-BE49-F238E27FC236}">
              <a16:creationId xmlns:a16="http://schemas.microsoft.com/office/drawing/2014/main" id="{63F2472F-A78A-A1A3-EA50-53586FF9B3B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5" name="Line 10">
          <a:extLst>
            <a:ext uri="{FF2B5EF4-FFF2-40B4-BE49-F238E27FC236}">
              <a16:creationId xmlns:a16="http://schemas.microsoft.com/office/drawing/2014/main" id="{A8096585-1DA7-D67F-EDAB-B7C61C362B8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6" name="Line 11">
          <a:extLst>
            <a:ext uri="{FF2B5EF4-FFF2-40B4-BE49-F238E27FC236}">
              <a16:creationId xmlns:a16="http://schemas.microsoft.com/office/drawing/2014/main" id="{9BFFF074-7C86-E0B7-6770-11DBDFDA08B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7" name="Line 12">
          <a:extLst>
            <a:ext uri="{FF2B5EF4-FFF2-40B4-BE49-F238E27FC236}">
              <a16:creationId xmlns:a16="http://schemas.microsoft.com/office/drawing/2014/main" id="{B5D6C4F1-0F35-70FB-5EC0-128F17554E1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8" name="Line 13">
          <a:extLst>
            <a:ext uri="{FF2B5EF4-FFF2-40B4-BE49-F238E27FC236}">
              <a16:creationId xmlns:a16="http://schemas.microsoft.com/office/drawing/2014/main" id="{758F2FEB-A8F9-353C-4938-CA998ED5801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6369" name="Line 14">
          <a:extLst>
            <a:ext uri="{FF2B5EF4-FFF2-40B4-BE49-F238E27FC236}">
              <a16:creationId xmlns:a16="http://schemas.microsoft.com/office/drawing/2014/main" id="{B7B79071-5BC6-5843-5EE5-94274647DE74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6370" name="Line 15">
          <a:extLst>
            <a:ext uri="{FF2B5EF4-FFF2-40B4-BE49-F238E27FC236}">
              <a16:creationId xmlns:a16="http://schemas.microsoft.com/office/drawing/2014/main" id="{6E105494-C31F-1BC4-A5D5-0047B5CC9CE3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71" name="Line 16">
          <a:extLst>
            <a:ext uri="{FF2B5EF4-FFF2-40B4-BE49-F238E27FC236}">
              <a16:creationId xmlns:a16="http://schemas.microsoft.com/office/drawing/2014/main" id="{4B7D4B6B-E8EA-546C-130F-468947C7BD5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6372" name="Line 17">
          <a:extLst>
            <a:ext uri="{FF2B5EF4-FFF2-40B4-BE49-F238E27FC236}">
              <a16:creationId xmlns:a16="http://schemas.microsoft.com/office/drawing/2014/main" id="{F9248242-7CC6-73F2-B08C-F4F63DA5B8C9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6373" name="Line 18">
          <a:extLst>
            <a:ext uri="{FF2B5EF4-FFF2-40B4-BE49-F238E27FC236}">
              <a16:creationId xmlns:a16="http://schemas.microsoft.com/office/drawing/2014/main" id="{A058781F-9888-FC18-AAA3-89399C942AB2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4" name="Line 19">
          <a:extLst>
            <a:ext uri="{FF2B5EF4-FFF2-40B4-BE49-F238E27FC236}">
              <a16:creationId xmlns:a16="http://schemas.microsoft.com/office/drawing/2014/main" id="{038FC1EC-8BA9-8EF1-E483-EA3C195A7583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5" name="Line 20">
          <a:extLst>
            <a:ext uri="{FF2B5EF4-FFF2-40B4-BE49-F238E27FC236}">
              <a16:creationId xmlns:a16="http://schemas.microsoft.com/office/drawing/2014/main" id="{8302D3AD-466C-CD39-24E0-C9D8283147EE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76" name="Line 21">
          <a:extLst>
            <a:ext uri="{FF2B5EF4-FFF2-40B4-BE49-F238E27FC236}">
              <a16:creationId xmlns:a16="http://schemas.microsoft.com/office/drawing/2014/main" id="{8ED3FC73-B553-C9F1-D0EC-A1E2EA61DD1F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77" name="Line 22">
          <a:extLst>
            <a:ext uri="{FF2B5EF4-FFF2-40B4-BE49-F238E27FC236}">
              <a16:creationId xmlns:a16="http://schemas.microsoft.com/office/drawing/2014/main" id="{29F8226F-1BDD-8746-F31F-DC38136B7D31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8" name="Line 23">
          <a:extLst>
            <a:ext uri="{FF2B5EF4-FFF2-40B4-BE49-F238E27FC236}">
              <a16:creationId xmlns:a16="http://schemas.microsoft.com/office/drawing/2014/main" id="{A3DAFDC0-DEDF-93CA-1632-FF39CBEF3801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9" name="Line 24">
          <a:extLst>
            <a:ext uri="{FF2B5EF4-FFF2-40B4-BE49-F238E27FC236}">
              <a16:creationId xmlns:a16="http://schemas.microsoft.com/office/drawing/2014/main" id="{89EB7CBB-5348-836D-966C-A07EC3B29242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80" name="Line 25">
          <a:extLst>
            <a:ext uri="{FF2B5EF4-FFF2-40B4-BE49-F238E27FC236}">
              <a16:creationId xmlns:a16="http://schemas.microsoft.com/office/drawing/2014/main" id="{55131431-1680-B7C5-0737-744619A4698B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0481A250-1179-3B8A-70F2-3F0CC8396F82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6382" name="Line 27">
          <a:extLst>
            <a:ext uri="{FF2B5EF4-FFF2-40B4-BE49-F238E27FC236}">
              <a16:creationId xmlns:a16="http://schemas.microsoft.com/office/drawing/2014/main" id="{522B760A-7FEE-AC28-3474-8BA02F1FAEE7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6383" name="Line 28">
          <a:extLst>
            <a:ext uri="{FF2B5EF4-FFF2-40B4-BE49-F238E27FC236}">
              <a16:creationId xmlns:a16="http://schemas.microsoft.com/office/drawing/2014/main" id="{1F1CA5AC-686B-942F-7B36-33F6B343F0A5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6D2ECC0C-9F3D-926D-D4E8-20CD945F8F68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5" name="Line 30">
          <a:extLst>
            <a:ext uri="{FF2B5EF4-FFF2-40B4-BE49-F238E27FC236}">
              <a16:creationId xmlns:a16="http://schemas.microsoft.com/office/drawing/2014/main" id="{983DCACE-ACA8-AA14-18CF-A845DFF244F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6" name="Line 31">
          <a:extLst>
            <a:ext uri="{FF2B5EF4-FFF2-40B4-BE49-F238E27FC236}">
              <a16:creationId xmlns:a16="http://schemas.microsoft.com/office/drawing/2014/main" id="{54134805-0488-056A-FC7F-18663C212A8A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7" name="Line 32">
          <a:extLst>
            <a:ext uri="{FF2B5EF4-FFF2-40B4-BE49-F238E27FC236}">
              <a16:creationId xmlns:a16="http://schemas.microsoft.com/office/drawing/2014/main" id="{E2C8BEDE-06BB-8B77-7A8F-504BCC69BC32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8" name="Line 33">
          <a:extLst>
            <a:ext uri="{FF2B5EF4-FFF2-40B4-BE49-F238E27FC236}">
              <a16:creationId xmlns:a16="http://schemas.microsoft.com/office/drawing/2014/main" id="{9E8FD6BE-6108-A9AD-5DF4-443AE3CD2D3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6389" name="Rectangle 34">
          <a:extLst>
            <a:ext uri="{FF2B5EF4-FFF2-40B4-BE49-F238E27FC236}">
              <a16:creationId xmlns:a16="http://schemas.microsoft.com/office/drawing/2014/main" id="{FE23D7E9-79CB-B174-C876-11A1C4AA590B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6390" name="Line 35">
          <a:extLst>
            <a:ext uri="{FF2B5EF4-FFF2-40B4-BE49-F238E27FC236}">
              <a16:creationId xmlns:a16="http://schemas.microsoft.com/office/drawing/2014/main" id="{94B8C830-1625-8E49-BBEC-9243A7B3ACEA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6391" name="Line 36">
          <a:extLst>
            <a:ext uri="{FF2B5EF4-FFF2-40B4-BE49-F238E27FC236}">
              <a16:creationId xmlns:a16="http://schemas.microsoft.com/office/drawing/2014/main" id="{B9E21D03-4EE4-D3EB-1BF8-891F0AAD4B66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2" name="Line 37">
          <a:extLst>
            <a:ext uri="{FF2B5EF4-FFF2-40B4-BE49-F238E27FC236}">
              <a16:creationId xmlns:a16="http://schemas.microsoft.com/office/drawing/2014/main" id="{7ED9AD05-C8DB-98B9-B642-EB943A9B880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3" name="Line 38">
          <a:extLst>
            <a:ext uri="{FF2B5EF4-FFF2-40B4-BE49-F238E27FC236}">
              <a16:creationId xmlns:a16="http://schemas.microsoft.com/office/drawing/2014/main" id="{CC4DC598-0DA2-3B04-C7BC-470FAE135EC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4" name="Line 39">
          <a:extLst>
            <a:ext uri="{FF2B5EF4-FFF2-40B4-BE49-F238E27FC236}">
              <a16:creationId xmlns:a16="http://schemas.microsoft.com/office/drawing/2014/main" id="{2388B7A0-3BA0-9662-59E5-DB47FF45FA9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5" name="Line 40">
          <a:extLst>
            <a:ext uri="{FF2B5EF4-FFF2-40B4-BE49-F238E27FC236}">
              <a16:creationId xmlns:a16="http://schemas.microsoft.com/office/drawing/2014/main" id="{0E6309D1-2401-8D7A-EB1B-01B29396EDC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6" name="Line 41">
          <a:extLst>
            <a:ext uri="{FF2B5EF4-FFF2-40B4-BE49-F238E27FC236}">
              <a16:creationId xmlns:a16="http://schemas.microsoft.com/office/drawing/2014/main" id="{3EB0F616-DD55-50AA-DF00-27E72204521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7" name="Line 42">
          <a:extLst>
            <a:ext uri="{FF2B5EF4-FFF2-40B4-BE49-F238E27FC236}">
              <a16:creationId xmlns:a16="http://schemas.microsoft.com/office/drawing/2014/main" id="{EC5339E9-C870-95FB-B275-97332059DE1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8" name="Line 43">
          <a:extLst>
            <a:ext uri="{FF2B5EF4-FFF2-40B4-BE49-F238E27FC236}">
              <a16:creationId xmlns:a16="http://schemas.microsoft.com/office/drawing/2014/main" id="{417A0D50-D19A-C1E0-551A-42A4E09157B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9" name="Line 44">
          <a:extLst>
            <a:ext uri="{FF2B5EF4-FFF2-40B4-BE49-F238E27FC236}">
              <a16:creationId xmlns:a16="http://schemas.microsoft.com/office/drawing/2014/main" id="{5F6D42A1-CC58-BAB6-F007-8718D681B3C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400" name="Line 45">
          <a:extLst>
            <a:ext uri="{FF2B5EF4-FFF2-40B4-BE49-F238E27FC236}">
              <a16:creationId xmlns:a16="http://schemas.microsoft.com/office/drawing/2014/main" id="{35F3268E-6CFC-0D42-ACC5-3D177B1E597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401" name="Line 46">
          <a:extLst>
            <a:ext uri="{FF2B5EF4-FFF2-40B4-BE49-F238E27FC236}">
              <a16:creationId xmlns:a16="http://schemas.microsoft.com/office/drawing/2014/main" id="{C53F8335-5462-86BB-78CE-CD633F43907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6402" name="Line 47">
          <a:extLst>
            <a:ext uri="{FF2B5EF4-FFF2-40B4-BE49-F238E27FC236}">
              <a16:creationId xmlns:a16="http://schemas.microsoft.com/office/drawing/2014/main" id="{C8515DD2-3A49-91F6-548F-6C1B94A5377B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6403" name="Line 48">
          <a:extLst>
            <a:ext uri="{FF2B5EF4-FFF2-40B4-BE49-F238E27FC236}">
              <a16:creationId xmlns:a16="http://schemas.microsoft.com/office/drawing/2014/main" id="{888E2ACD-B688-E016-AB8D-B412264D1C4C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404" name="Line 49">
          <a:extLst>
            <a:ext uri="{FF2B5EF4-FFF2-40B4-BE49-F238E27FC236}">
              <a16:creationId xmlns:a16="http://schemas.microsoft.com/office/drawing/2014/main" id="{27C14956-FC35-9087-4606-E3614EEBE86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6405" name="Line 50">
          <a:extLst>
            <a:ext uri="{FF2B5EF4-FFF2-40B4-BE49-F238E27FC236}">
              <a16:creationId xmlns:a16="http://schemas.microsoft.com/office/drawing/2014/main" id="{84D4D9E3-9894-69DD-A206-7B2E017C97C7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6406" name="Line 51">
          <a:extLst>
            <a:ext uri="{FF2B5EF4-FFF2-40B4-BE49-F238E27FC236}">
              <a16:creationId xmlns:a16="http://schemas.microsoft.com/office/drawing/2014/main" id="{8D123204-2DD6-BDA9-F26C-2F2C879C96AB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407" name="Line 52">
          <a:extLst>
            <a:ext uri="{FF2B5EF4-FFF2-40B4-BE49-F238E27FC236}">
              <a16:creationId xmlns:a16="http://schemas.microsoft.com/office/drawing/2014/main" id="{8D4C8C24-218F-021B-3D40-06E0D7F6B21A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408" name="Line 53">
          <a:extLst>
            <a:ext uri="{FF2B5EF4-FFF2-40B4-BE49-F238E27FC236}">
              <a16:creationId xmlns:a16="http://schemas.microsoft.com/office/drawing/2014/main" id="{DE82B81B-F2C5-D960-A07A-1786EBD06B2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409" name="Line 54">
          <a:extLst>
            <a:ext uri="{FF2B5EF4-FFF2-40B4-BE49-F238E27FC236}">
              <a16:creationId xmlns:a16="http://schemas.microsoft.com/office/drawing/2014/main" id="{B05F5203-ABC9-ACC2-5F1E-5F3852EAE9A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6410" name="Line 55">
          <a:extLst>
            <a:ext uri="{FF2B5EF4-FFF2-40B4-BE49-F238E27FC236}">
              <a16:creationId xmlns:a16="http://schemas.microsoft.com/office/drawing/2014/main" id="{7015321E-A52E-7868-1DEB-0C1AAC332100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E8DF13C6-8600-BA14-41A7-F914EF22EDFE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5323F4EE-08CE-AC52-A982-CC533B769AB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8E9E4D6E-B3CF-AAA4-FB8C-8F95C0C3DE49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56A5F042-CC83-5F18-A7D8-BBAF88575AD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1F29227D-A0BA-F76C-5D89-A8EA5ED58C3B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E5549D0B-1192-7A5C-1B78-72C1829A212E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6417" name="Line 62">
          <a:extLst>
            <a:ext uri="{FF2B5EF4-FFF2-40B4-BE49-F238E27FC236}">
              <a16:creationId xmlns:a16="http://schemas.microsoft.com/office/drawing/2014/main" id="{309AF5A2-701C-1425-9A59-0EE41097D5E1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6418" name="Line 63">
          <a:extLst>
            <a:ext uri="{FF2B5EF4-FFF2-40B4-BE49-F238E27FC236}">
              <a16:creationId xmlns:a16="http://schemas.microsoft.com/office/drawing/2014/main" id="{18C2C378-32DE-1F8E-2B95-D6EE2314FD05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6419" name="Line 64">
          <a:extLst>
            <a:ext uri="{FF2B5EF4-FFF2-40B4-BE49-F238E27FC236}">
              <a16:creationId xmlns:a16="http://schemas.microsoft.com/office/drawing/2014/main" id="{C74C778A-5F83-41DC-7843-4E122638000D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6420" name="Line 65">
          <a:extLst>
            <a:ext uri="{FF2B5EF4-FFF2-40B4-BE49-F238E27FC236}">
              <a16:creationId xmlns:a16="http://schemas.microsoft.com/office/drawing/2014/main" id="{0CDE753B-4D5A-41EC-EB58-4504721DBE4B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6421" name="Line 66">
          <a:extLst>
            <a:ext uri="{FF2B5EF4-FFF2-40B4-BE49-F238E27FC236}">
              <a16:creationId xmlns:a16="http://schemas.microsoft.com/office/drawing/2014/main" id="{08766511-6A43-EA9E-E3E1-E0711938D7B2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6422" name="Line 67">
          <a:extLst>
            <a:ext uri="{FF2B5EF4-FFF2-40B4-BE49-F238E27FC236}">
              <a16:creationId xmlns:a16="http://schemas.microsoft.com/office/drawing/2014/main" id="{619B7A9E-702D-DAC5-5401-1BA800398142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9A16324A-801D-4C4A-86BD-51005E7041B5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6424" name="Line 69">
          <a:extLst>
            <a:ext uri="{FF2B5EF4-FFF2-40B4-BE49-F238E27FC236}">
              <a16:creationId xmlns:a16="http://schemas.microsoft.com/office/drawing/2014/main" id="{A346DC9D-9523-CA22-49CA-4D1FC147728B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85F2C486-D738-9F22-6679-5DCE3D2F32F2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6426" name="Line 71">
          <a:extLst>
            <a:ext uri="{FF2B5EF4-FFF2-40B4-BE49-F238E27FC236}">
              <a16:creationId xmlns:a16="http://schemas.microsoft.com/office/drawing/2014/main" id="{46E732CC-46AE-D44C-C48E-6BED8138F095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6427" name="Line 72">
          <a:extLst>
            <a:ext uri="{FF2B5EF4-FFF2-40B4-BE49-F238E27FC236}">
              <a16:creationId xmlns:a16="http://schemas.microsoft.com/office/drawing/2014/main" id="{979F924F-24D2-5840-E520-3AFCC8136F10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6428" name="Line 73">
          <a:extLst>
            <a:ext uri="{FF2B5EF4-FFF2-40B4-BE49-F238E27FC236}">
              <a16:creationId xmlns:a16="http://schemas.microsoft.com/office/drawing/2014/main" id="{6A05AB7B-ADED-550E-1057-5C8CD9A8E4F8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1529F2FF-A1BE-4BFE-5687-BF0F7FF55FFE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8C330D32-9C8B-B4A9-A32F-31F3A168E39B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287E3633-72E8-D2D5-C16F-ED7FDFAF90C8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D6C7E00E-CFCC-E0E1-B143-0DEC36A57E28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6433" name="Line 78">
          <a:extLst>
            <a:ext uri="{FF2B5EF4-FFF2-40B4-BE49-F238E27FC236}">
              <a16:creationId xmlns:a16="http://schemas.microsoft.com/office/drawing/2014/main" id="{0F7EF860-74FE-498D-0CBC-CED1355C7768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6434" name="Line 79">
          <a:extLst>
            <a:ext uri="{FF2B5EF4-FFF2-40B4-BE49-F238E27FC236}">
              <a16:creationId xmlns:a16="http://schemas.microsoft.com/office/drawing/2014/main" id="{C64A7B3A-A056-1BD9-DE61-A4DB4E1375DB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6435" name="Line 80">
          <a:extLst>
            <a:ext uri="{FF2B5EF4-FFF2-40B4-BE49-F238E27FC236}">
              <a16:creationId xmlns:a16="http://schemas.microsoft.com/office/drawing/2014/main" id="{6A0FE6BB-59C5-1660-44BC-081D5E70AC06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6436" name="Line 81">
          <a:extLst>
            <a:ext uri="{FF2B5EF4-FFF2-40B4-BE49-F238E27FC236}">
              <a16:creationId xmlns:a16="http://schemas.microsoft.com/office/drawing/2014/main" id="{778D65B1-7265-1913-7D7F-93FFC40EA6D1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6437" name="Line 82">
          <a:extLst>
            <a:ext uri="{FF2B5EF4-FFF2-40B4-BE49-F238E27FC236}">
              <a16:creationId xmlns:a16="http://schemas.microsoft.com/office/drawing/2014/main" id="{C749265D-22EA-0888-C17B-05DE2853C0BD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6438" name="Line 83">
          <a:extLst>
            <a:ext uri="{FF2B5EF4-FFF2-40B4-BE49-F238E27FC236}">
              <a16:creationId xmlns:a16="http://schemas.microsoft.com/office/drawing/2014/main" id="{473FCBB7-45D4-C2E1-4F85-C0E26B79358E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95C71876-8F99-6798-0AC3-68FD5C2C1686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6440" name="Line 85">
          <a:extLst>
            <a:ext uri="{FF2B5EF4-FFF2-40B4-BE49-F238E27FC236}">
              <a16:creationId xmlns:a16="http://schemas.microsoft.com/office/drawing/2014/main" id="{E057FC89-2746-5532-ED72-4CEA6B25E4CA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6441" name="Line 86">
          <a:extLst>
            <a:ext uri="{FF2B5EF4-FFF2-40B4-BE49-F238E27FC236}">
              <a16:creationId xmlns:a16="http://schemas.microsoft.com/office/drawing/2014/main" id="{4EA06559-B90A-9DD2-D572-01F54B6398FE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7E558DDC-6514-9BFD-E1B8-508E813F3234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6443" name="Line 88">
          <a:extLst>
            <a:ext uri="{FF2B5EF4-FFF2-40B4-BE49-F238E27FC236}">
              <a16:creationId xmlns:a16="http://schemas.microsoft.com/office/drawing/2014/main" id="{B537D900-EC73-C55A-3947-195E0B527E98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6444" name="Line 89">
          <a:extLst>
            <a:ext uri="{FF2B5EF4-FFF2-40B4-BE49-F238E27FC236}">
              <a16:creationId xmlns:a16="http://schemas.microsoft.com/office/drawing/2014/main" id="{A30C2446-5B91-5185-52E5-56EBD6FAB27A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6445" name="Line 90">
          <a:extLst>
            <a:ext uri="{FF2B5EF4-FFF2-40B4-BE49-F238E27FC236}">
              <a16:creationId xmlns:a16="http://schemas.microsoft.com/office/drawing/2014/main" id="{57737F8C-4B15-9538-6AAD-2678392E1B0D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6446" name="Line 91">
          <a:extLst>
            <a:ext uri="{FF2B5EF4-FFF2-40B4-BE49-F238E27FC236}">
              <a16:creationId xmlns:a16="http://schemas.microsoft.com/office/drawing/2014/main" id="{C075DC8E-D794-6D52-1339-5AE972A49331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6447" name="Line 92">
          <a:extLst>
            <a:ext uri="{FF2B5EF4-FFF2-40B4-BE49-F238E27FC236}">
              <a16:creationId xmlns:a16="http://schemas.microsoft.com/office/drawing/2014/main" id="{FFEF4439-78EC-481D-F621-75542C863782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6448" name="AutoShape 93" descr="Stationery">
          <a:extLst>
            <a:ext uri="{FF2B5EF4-FFF2-40B4-BE49-F238E27FC236}">
              <a16:creationId xmlns:a16="http://schemas.microsoft.com/office/drawing/2014/main" id="{C86D1AA7-373D-9E9D-E07E-F1602D6E030E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6449" name="Line 94">
          <a:extLst>
            <a:ext uri="{FF2B5EF4-FFF2-40B4-BE49-F238E27FC236}">
              <a16:creationId xmlns:a16="http://schemas.microsoft.com/office/drawing/2014/main" id="{C15836F6-D402-87BD-1FDE-43247465FEA4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6450" name="Line 95">
          <a:extLst>
            <a:ext uri="{FF2B5EF4-FFF2-40B4-BE49-F238E27FC236}">
              <a16:creationId xmlns:a16="http://schemas.microsoft.com/office/drawing/2014/main" id="{21DDA431-8DCE-FCD9-5881-08972D275679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056844F3-99E8-C8FF-26CE-E7E32AB4B49F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9BD181C2-4DF8-207A-7A32-DC1A122DA6D1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6453" name="Line 98">
          <a:extLst>
            <a:ext uri="{FF2B5EF4-FFF2-40B4-BE49-F238E27FC236}">
              <a16:creationId xmlns:a16="http://schemas.microsoft.com/office/drawing/2014/main" id="{F5F8A6E2-9577-F085-2D67-03AD999209EE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6454" name="Line 99">
          <a:extLst>
            <a:ext uri="{FF2B5EF4-FFF2-40B4-BE49-F238E27FC236}">
              <a16:creationId xmlns:a16="http://schemas.microsoft.com/office/drawing/2014/main" id="{2440EAFE-253E-4FE1-31EC-472340FA4B31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6455" name="Line 100">
          <a:extLst>
            <a:ext uri="{FF2B5EF4-FFF2-40B4-BE49-F238E27FC236}">
              <a16:creationId xmlns:a16="http://schemas.microsoft.com/office/drawing/2014/main" id="{8C13F630-B79B-D1F3-9E5C-00EAF25126F2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6456" name="Line 101">
          <a:extLst>
            <a:ext uri="{FF2B5EF4-FFF2-40B4-BE49-F238E27FC236}">
              <a16:creationId xmlns:a16="http://schemas.microsoft.com/office/drawing/2014/main" id="{88B9706C-41FA-D321-82C8-962645A7FCBA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57" name="Line 102">
          <a:extLst>
            <a:ext uri="{FF2B5EF4-FFF2-40B4-BE49-F238E27FC236}">
              <a16:creationId xmlns:a16="http://schemas.microsoft.com/office/drawing/2014/main" id="{52164315-D2A1-369B-A980-0C6FA50BA045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18A0FC99-FA82-56B6-CEC3-949BCD21B57C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6459" name="Line 104">
          <a:extLst>
            <a:ext uri="{FF2B5EF4-FFF2-40B4-BE49-F238E27FC236}">
              <a16:creationId xmlns:a16="http://schemas.microsoft.com/office/drawing/2014/main" id="{72D15F1B-ECC1-0052-DDF7-35236E2D71A6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55909582-1C4C-A021-24B3-998E4B7D031D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6461" name="Line 106">
          <a:extLst>
            <a:ext uri="{FF2B5EF4-FFF2-40B4-BE49-F238E27FC236}">
              <a16:creationId xmlns:a16="http://schemas.microsoft.com/office/drawing/2014/main" id="{BE95175C-677A-9958-395D-009BA0AC75C3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ECD03563-ABF1-7A99-D224-C4E0C42F1214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6463" name="Freeform 108">
          <a:extLst>
            <a:ext uri="{FF2B5EF4-FFF2-40B4-BE49-F238E27FC236}">
              <a16:creationId xmlns:a16="http://schemas.microsoft.com/office/drawing/2014/main" id="{FCF54329-1DC3-BC1E-D2DB-D27B9D9885C0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6464" name="Line 109">
          <a:extLst>
            <a:ext uri="{FF2B5EF4-FFF2-40B4-BE49-F238E27FC236}">
              <a16:creationId xmlns:a16="http://schemas.microsoft.com/office/drawing/2014/main" id="{EA19AA9A-6BE9-CDB8-B593-567DFCA0DBC7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6465" name="Line 110">
          <a:extLst>
            <a:ext uri="{FF2B5EF4-FFF2-40B4-BE49-F238E27FC236}">
              <a16:creationId xmlns:a16="http://schemas.microsoft.com/office/drawing/2014/main" id="{680F7D22-FD45-B408-2D05-77D1E30E11C4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6466" name="Line 111">
          <a:extLst>
            <a:ext uri="{FF2B5EF4-FFF2-40B4-BE49-F238E27FC236}">
              <a16:creationId xmlns:a16="http://schemas.microsoft.com/office/drawing/2014/main" id="{D5F05B34-BA9E-EA80-DE4C-E334524AA931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6467" name="Line 112">
          <a:extLst>
            <a:ext uri="{FF2B5EF4-FFF2-40B4-BE49-F238E27FC236}">
              <a16:creationId xmlns:a16="http://schemas.microsoft.com/office/drawing/2014/main" id="{322D53F7-A5F4-3AD9-225B-BE927FFB5447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6468" name="Line 113">
          <a:extLst>
            <a:ext uri="{FF2B5EF4-FFF2-40B4-BE49-F238E27FC236}">
              <a16:creationId xmlns:a16="http://schemas.microsoft.com/office/drawing/2014/main" id="{8188DDF6-4972-5542-9F73-09040569A603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6469" name="Line 114">
          <a:extLst>
            <a:ext uri="{FF2B5EF4-FFF2-40B4-BE49-F238E27FC236}">
              <a16:creationId xmlns:a16="http://schemas.microsoft.com/office/drawing/2014/main" id="{AE7F1A98-52B2-99C8-BFEA-DA67B5E3D717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6470" name="Line 115">
          <a:extLst>
            <a:ext uri="{FF2B5EF4-FFF2-40B4-BE49-F238E27FC236}">
              <a16:creationId xmlns:a16="http://schemas.microsoft.com/office/drawing/2014/main" id="{69B3036E-F4DB-C737-8065-7064BFA687F1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6471" name="Line 116">
          <a:extLst>
            <a:ext uri="{FF2B5EF4-FFF2-40B4-BE49-F238E27FC236}">
              <a16:creationId xmlns:a16="http://schemas.microsoft.com/office/drawing/2014/main" id="{97A0BA63-99C5-9BBC-7D8B-27AC6FA6BA83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6472" name="Line 117">
          <a:extLst>
            <a:ext uri="{FF2B5EF4-FFF2-40B4-BE49-F238E27FC236}">
              <a16:creationId xmlns:a16="http://schemas.microsoft.com/office/drawing/2014/main" id="{1F4B3FC7-B583-2241-9803-41B799C55BA3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6473" name="Line 118">
          <a:extLst>
            <a:ext uri="{FF2B5EF4-FFF2-40B4-BE49-F238E27FC236}">
              <a16:creationId xmlns:a16="http://schemas.microsoft.com/office/drawing/2014/main" id="{94D98827-225F-3A49-DCF5-48896605EAD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4" name="Line 119">
          <a:extLst>
            <a:ext uri="{FF2B5EF4-FFF2-40B4-BE49-F238E27FC236}">
              <a16:creationId xmlns:a16="http://schemas.microsoft.com/office/drawing/2014/main" id="{97FAD84D-4A7A-0892-A044-F68DBBA03552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5" name="Line 120">
          <a:extLst>
            <a:ext uri="{FF2B5EF4-FFF2-40B4-BE49-F238E27FC236}">
              <a16:creationId xmlns:a16="http://schemas.microsoft.com/office/drawing/2014/main" id="{96D1F513-C323-1405-1A2E-C293B151B6C7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6" name="Line 121">
          <a:extLst>
            <a:ext uri="{FF2B5EF4-FFF2-40B4-BE49-F238E27FC236}">
              <a16:creationId xmlns:a16="http://schemas.microsoft.com/office/drawing/2014/main" id="{46781A0A-E3EF-3113-6B53-10B8187636A6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6477" name="Line 122">
          <a:extLst>
            <a:ext uri="{FF2B5EF4-FFF2-40B4-BE49-F238E27FC236}">
              <a16:creationId xmlns:a16="http://schemas.microsoft.com/office/drawing/2014/main" id="{4A48A27B-F5A6-1775-7639-10E8D5767E36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6478" name="Line 123">
          <a:extLst>
            <a:ext uri="{FF2B5EF4-FFF2-40B4-BE49-F238E27FC236}">
              <a16:creationId xmlns:a16="http://schemas.microsoft.com/office/drawing/2014/main" id="{63BCDC57-94D3-344F-A372-46177E01A4B9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6479" name="Line 124">
          <a:extLst>
            <a:ext uri="{FF2B5EF4-FFF2-40B4-BE49-F238E27FC236}">
              <a16:creationId xmlns:a16="http://schemas.microsoft.com/office/drawing/2014/main" id="{4E5EABD5-7F1D-ABF3-1C9F-3880C15AF95F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6480" name="Line 125">
          <a:extLst>
            <a:ext uri="{FF2B5EF4-FFF2-40B4-BE49-F238E27FC236}">
              <a16:creationId xmlns:a16="http://schemas.microsoft.com/office/drawing/2014/main" id="{8E51DA62-85EC-99B2-C44C-91EF1BF639C5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6481" name="Line 126">
          <a:extLst>
            <a:ext uri="{FF2B5EF4-FFF2-40B4-BE49-F238E27FC236}">
              <a16:creationId xmlns:a16="http://schemas.microsoft.com/office/drawing/2014/main" id="{34D4F3FE-5FEB-C0C9-B0F6-A540676A8F70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6482" name="Group 127">
          <a:extLst>
            <a:ext uri="{FF2B5EF4-FFF2-40B4-BE49-F238E27FC236}">
              <a16:creationId xmlns:a16="http://schemas.microsoft.com/office/drawing/2014/main" id="{0AC5DBFA-801F-9A16-382D-BB30C81F4262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6550" name="Oval 128">
            <a:extLst>
              <a:ext uri="{FF2B5EF4-FFF2-40B4-BE49-F238E27FC236}">
                <a16:creationId xmlns:a16="http://schemas.microsoft.com/office/drawing/2014/main" id="{F08F97FA-94BE-6278-6F61-D6B70E53D9D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51" name="Line 129">
            <a:extLst>
              <a:ext uri="{FF2B5EF4-FFF2-40B4-BE49-F238E27FC236}">
                <a16:creationId xmlns:a16="http://schemas.microsoft.com/office/drawing/2014/main" id="{406742F4-071A-9573-8196-F871A6D2F8D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6483" name="Group 130">
          <a:extLst>
            <a:ext uri="{FF2B5EF4-FFF2-40B4-BE49-F238E27FC236}">
              <a16:creationId xmlns:a16="http://schemas.microsoft.com/office/drawing/2014/main" id="{A97718A7-C941-FC58-F3F8-2C218EA7B27C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6548" name="Oval 131">
            <a:extLst>
              <a:ext uri="{FF2B5EF4-FFF2-40B4-BE49-F238E27FC236}">
                <a16:creationId xmlns:a16="http://schemas.microsoft.com/office/drawing/2014/main" id="{924BA8E3-40D2-C056-CA44-F67364E223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9" name="Line 132">
            <a:extLst>
              <a:ext uri="{FF2B5EF4-FFF2-40B4-BE49-F238E27FC236}">
                <a16:creationId xmlns:a16="http://schemas.microsoft.com/office/drawing/2014/main" id="{C6753C1B-A13A-EDF4-E7D6-14845062B6D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6484" name="Group 133">
          <a:extLst>
            <a:ext uri="{FF2B5EF4-FFF2-40B4-BE49-F238E27FC236}">
              <a16:creationId xmlns:a16="http://schemas.microsoft.com/office/drawing/2014/main" id="{55356CC2-EFCE-7A91-94E1-730584BC6A57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6546" name="Oval 134">
            <a:extLst>
              <a:ext uri="{FF2B5EF4-FFF2-40B4-BE49-F238E27FC236}">
                <a16:creationId xmlns:a16="http://schemas.microsoft.com/office/drawing/2014/main" id="{33DAF7AB-95EB-BBC6-1582-42DB5D756B2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7" name="Line 135">
            <a:extLst>
              <a:ext uri="{FF2B5EF4-FFF2-40B4-BE49-F238E27FC236}">
                <a16:creationId xmlns:a16="http://schemas.microsoft.com/office/drawing/2014/main" id="{1F82C39D-13A8-6379-08ED-41E597D1586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6485" name="Group 136">
          <a:extLst>
            <a:ext uri="{FF2B5EF4-FFF2-40B4-BE49-F238E27FC236}">
              <a16:creationId xmlns:a16="http://schemas.microsoft.com/office/drawing/2014/main" id="{C7A25A8D-B61E-CE3A-FBAD-8B227C12E0E4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6544" name="Oval 137">
            <a:extLst>
              <a:ext uri="{FF2B5EF4-FFF2-40B4-BE49-F238E27FC236}">
                <a16:creationId xmlns:a16="http://schemas.microsoft.com/office/drawing/2014/main" id="{3817850C-8497-06BC-B013-BDE72D3ABCA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5" name="Line 138">
            <a:extLst>
              <a:ext uri="{FF2B5EF4-FFF2-40B4-BE49-F238E27FC236}">
                <a16:creationId xmlns:a16="http://schemas.microsoft.com/office/drawing/2014/main" id="{E4AD59B7-1AEE-7011-B7FE-573BA541403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6486" name="Group 139">
          <a:extLst>
            <a:ext uri="{FF2B5EF4-FFF2-40B4-BE49-F238E27FC236}">
              <a16:creationId xmlns:a16="http://schemas.microsoft.com/office/drawing/2014/main" id="{AC3CED75-286A-236C-0666-AED51DE8FEFC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6542" name="Oval 140">
            <a:extLst>
              <a:ext uri="{FF2B5EF4-FFF2-40B4-BE49-F238E27FC236}">
                <a16:creationId xmlns:a16="http://schemas.microsoft.com/office/drawing/2014/main" id="{7C58DCA5-FE32-A4A9-E8DE-1F59BC050B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3" name="Line 141">
            <a:extLst>
              <a:ext uri="{FF2B5EF4-FFF2-40B4-BE49-F238E27FC236}">
                <a16:creationId xmlns:a16="http://schemas.microsoft.com/office/drawing/2014/main" id="{5317072D-DB77-EF26-F365-95B6E832853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6487" name="Group 142">
          <a:extLst>
            <a:ext uri="{FF2B5EF4-FFF2-40B4-BE49-F238E27FC236}">
              <a16:creationId xmlns:a16="http://schemas.microsoft.com/office/drawing/2014/main" id="{F192F91E-C767-3527-2A4D-3B43DA7CCF21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6540" name="Oval 143">
            <a:extLst>
              <a:ext uri="{FF2B5EF4-FFF2-40B4-BE49-F238E27FC236}">
                <a16:creationId xmlns:a16="http://schemas.microsoft.com/office/drawing/2014/main" id="{19AC159E-A2AB-9CAE-F5A6-AE741EF33F7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1" name="Line 144">
            <a:extLst>
              <a:ext uri="{FF2B5EF4-FFF2-40B4-BE49-F238E27FC236}">
                <a16:creationId xmlns:a16="http://schemas.microsoft.com/office/drawing/2014/main" id="{3E104B38-C38D-62D7-0F35-51A3B1DAB96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6488" name="Group 145">
          <a:extLst>
            <a:ext uri="{FF2B5EF4-FFF2-40B4-BE49-F238E27FC236}">
              <a16:creationId xmlns:a16="http://schemas.microsoft.com/office/drawing/2014/main" id="{36D27B12-0D12-8045-0906-609BC8935CE1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6538" name="Oval 146">
            <a:extLst>
              <a:ext uri="{FF2B5EF4-FFF2-40B4-BE49-F238E27FC236}">
                <a16:creationId xmlns:a16="http://schemas.microsoft.com/office/drawing/2014/main" id="{1F6384CE-F2BB-AA20-2445-BAC7F4C172A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39" name="Line 147">
            <a:extLst>
              <a:ext uri="{FF2B5EF4-FFF2-40B4-BE49-F238E27FC236}">
                <a16:creationId xmlns:a16="http://schemas.microsoft.com/office/drawing/2014/main" id="{221EA55B-7051-6AED-1FB9-ADE0576CD6F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E970DB71-1445-A471-A5BD-CBFFBC1CBD2A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6490" name="Line 149">
          <a:extLst>
            <a:ext uri="{FF2B5EF4-FFF2-40B4-BE49-F238E27FC236}">
              <a16:creationId xmlns:a16="http://schemas.microsoft.com/office/drawing/2014/main" id="{182023E3-5A40-1FB8-6172-EC05B883040F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6491" name="Line 150">
          <a:extLst>
            <a:ext uri="{FF2B5EF4-FFF2-40B4-BE49-F238E27FC236}">
              <a16:creationId xmlns:a16="http://schemas.microsoft.com/office/drawing/2014/main" id="{DC4E36C1-C10B-A404-7233-AD59439A2676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B24D4399-F3CF-0844-1673-7D386B554452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6493" name="Line 153">
          <a:extLst>
            <a:ext uri="{FF2B5EF4-FFF2-40B4-BE49-F238E27FC236}">
              <a16:creationId xmlns:a16="http://schemas.microsoft.com/office/drawing/2014/main" id="{BB9CA56B-E825-E753-6120-A8FF3ED100E8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6494" name="Line 154">
          <a:extLst>
            <a:ext uri="{FF2B5EF4-FFF2-40B4-BE49-F238E27FC236}">
              <a16:creationId xmlns:a16="http://schemas.microsoft.com/office/drawing/2014/main" id="{FF66FC53-A5C4-DD2B-5F03-292700DAE5CA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6495" name="Freeform 155">
          <a:extLst>
            <a:ext uri="{FF2B5EF4-FFF2-40B4-BE49-F238E27FC236}">
              <a16:creationId xmlns:a16="http://schemas.microsoft.com/office/drawing/2014/main" id="{5ED91CAB-795A-B58E-02B3-991274DAE1DD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6496" name="Line 156">
          <a:extLst>
            <a:ext uri="{FF2B5EF4-FFF2-40B4-BE49-F238E27FC236}">
              <a16:creationId xmlns:a16="http://schemas.microsoft.com/office/drawing/2014/main" id="{FCF12129-2AB2-0E50-05DB-FDDFBF976FA5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6497" name="Line 157">
          <a:extLst>
            <a:ext uri="{FF2B5EF4-FFF2-40B4-BE49-F238E27FC236}">
              <a16:creationId xmlns:a16="http://schemas.microsoft.com/office/drawing/2014/main" id="{F52C3397-7D9D-1810-D1C2-F6F6489C69B5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6498" name="Line 158">
          <a:extLst>
            <a:ext uri="{FF2B5EF4-FFF2-40B4-BE49-F238E27FC236}">
              <a16:creationId xmlns:a16="http://schemas.microsoft.com/office/drawing/2014/main" id="{98703018-B6D0-FF2D-F4CB-6EF3527347E4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6499" name="Line 160">
          <a:extLst>
            <a:ext uri="{FF2B5EF4-FFF2-40B4-BE49-F238E27FC236}">
              <a16:creationId xmlns:a16="http://schemas.microsoft.com/office/drawing/2014/main" id="{AB3CAD23-7C9F-FB63-A851-4A2DA5EFD3FF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6500" name="Line 161">
          <a:extLst>
            <a:ext uri="{FF2B5EF4-FFF2-40B4-BE49-F238E27FC236}">
              <a16:creationId xmlns:a16="http://schemas.microsoft.com/office/drawing/2014/main" id="{ED7583F4-09E3-B054-83A7-6601DD89FF5D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6501" name="Line 162">
          <a:extLst>
            <a:ext uri="{FF2B5EF4-FFF2-40B4-BE49-F238E27FC236}">
              <a16:creationId xmlns:a16="http://schemas.microsoft.com/office/drawing/2014/main" id="{9766A6D6-494C-2AFD-7A14-EA62E1CB01BD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6502" name="Line 163">
          <a:extLst>
            <a:ext uri="{FF2B5EF4-FFF2-40B4-BE49-F238E27FC236}">
              <a16:creationId xmlns:a16="http://schemas.microsoft.com/office/drawing/2014/main" id="{7420C353-CD96-FBCE-0B6A-899F4269EA05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6503" name="Line 164">
          <a:extLst>
            <a:ext uri="{FF2B5EF4-FFF2-40B4-BE49-F238E27FC236}">
              <a16:creationId xmlns:a16="http://schemas.microsoft.com/office/drawing/2014/main" id="{0931FDBA-32A6-4F67-172B-5AF792968896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6504" name="Line 165">
          <a:extLst>
            <a:ext uri="{FF2B5EF4-FFF2-40B4-BE49-F238E27FC236}">
              <a16:creationId xmlns:a16="http://schemas.microsoft.com/office/drawing/2014/main" id="{D0E5C54E-D304-E343-C788-91C802256CBF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51D850F3-95A1-E051-D5C7-740533F270D5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65025CC9-5AB3-9E8D-BA6F-6264C886DDB3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6507" name="Line 2509">
          <a:extLst>
            <a:ext uri="{FF2B5EF4-FFF2-40B4-BE49-F238E27FC236}">
              <a16:creationId xmlns:a16="http://schemas.microsoft.com/office/drawing/2014/main" id="{D8C44746-30BD-1844-D12D-014FA35DBA10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0097CDAB-40DC-2EE4-BE3D-9B1CD79F400A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A8B2E123-CBC3-B280-107D-F8E813E9E628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6510" name="Group 183">
          <a:extLst>
            <a:ext uri="{FF2B5EF4-FFF2-40B4-BE49-F238E27FC236}">
              <a16:creationId xmlns:a16="http://schemas.microsoft.com/office/drawing/2014/main" id="{5A5440C6-34F5-2B56-5967-51C47E181014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9FD54963-0A06-2EED-FED6-3D900BC6F8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6530" name="Line 2507">
            <a:extLst>
              <a:ext uri="{FF2B5EF4-FFF2-40B4-BE49-F238E27FC236}">
                <a16:creationId xmlns:a16="http://schemas.microsoft.com/office/drawing/2014/main" id="{AB9EA512-508F-DB66-3724-C7821486DA6E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4906017E-D5ED-E971-6EA7-209B652DE790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E8E35F3E-7FF6-DDEF-826E-8C56FEAD4C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2BC41B4D-838F-16EC-19A0-936B3211B3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1E562E1A-6194-8C6D-D830-9624C26A3AF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BE4E3D63-935A-FC92-3016-E955914EB3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6536" name="Line 2515">
            <a:extLst>
              <a:ext uri="{FF2B5EF4-FFF2-40B4-BE49-F238E27FC236}">
                <a16:creationId xmlns:a16="http://schemas.microsoft.com/office/drawing/2014/main" id="{2BA27E8E-5BC6-E234-6A25-330EF237EDA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7C1D8E1B-DEEA-3A19-3A9E-519EC5C01C35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75087ACF-1D82-F60C-4C83-DD95E36EC996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EEA46C24-E02F-E1A9-0550-933DA1EE0398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DA79C021-65A7-E05E-38BE-6DC11763D9F7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83C4C518-9FB5-30A8-8EBB-F9B94289DBEF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FC8AF783-D1EE-322F-34A0-DD1DAFE37D85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1EDD1858-9359-4B98-AABA-785334E72D59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6517" name="Line 2515">
          <a:extLst>
            <a:ext uri="{FF2B5EF4-FFF2-40B4-BE49-F238E27FC236}">
              <a16:creationId xmlns:a16="http://schemas.microsoft.com/office/drawing/2014/main" id="{BF478FDF-33B4-414D-6A30-8ECEE6430CFA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1A8E9E01-903E-E699-85A8-733A4B6D5281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ADFB732-CAF8-5EF7-E073-9BFF7729F361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86AE105C-9698-02B4-4C50-204915C93456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684C9AAD-1FAF-80A8-FA41-EA356C1183D1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C1ABEB9E-D699-38A6-95CB-CD455C488D12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FA1BC6CB-3614-5C87-FBFA-B5AF6314C149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488E7C8D-F8D0-F401-B2BD-422D1ADC560E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28968682-55D2-EEEA-1CC5-700F2A51D605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38E2073C-B3D5-E3CB-8F28-636737B73DA4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57AEBD81-D222-B932-E373-A27D5FBC2CF7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10B956D6-BC69-9E24-FCCC-8B9DE0DFAD0E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7380" name="Rectangle 1">
          <a:extLst>
            <a:ext uri="{FF2B5EF4-FFF2-40B4-BE49-F238E27FC236}">
              <a16:creationId xmlns:a16="http://schemas.microsoft.com/office/drawing/2014/main" id="{B0E2031C-7926-A8B2-0A9C-EDF7CC415715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7381" name="Line 2">
          <a:extLst>
            <a:ext uri="{FF2B5EF4-FFF2-40B4-BE49-F238E27FC236}">
              <a16:creationId xmlns:a16="http://schemas.microsoft.com/office/drawing/2014/main" id="{ABE9AB72-F167-460A-9843-E497E5A78AC4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7382" name="Line 3">
          <a:extLst>
            <a:ext uri="{FF2B5EF4-FFF2-40B4-BE49-F238E27FC236}">
              <a16:creationId xmlns:a16="http://schemas.microsoft.com/office/drawing/2014/main" id="{4FCCF80D-70B2-7476-A6FD-5BA7DB745901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3" name="Line 4">
          <a:extLst>
            <a:ext uri="{FF2B5EF4-FFF2-40B4-BE49-F238E27FC236}">
              <a16:creationId xmlns:a16="http://schemas.microsoft.com/office/drawing/2014/main" id="{07D8D334-92CA-88AE-2123-A4FA6BB0D55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4" name="Line 5">
          <a:extLst>
            <a:ext uri="{FF2B5EF4-FFF2-40B4-BE49-F238E27FC236}">
              <a16:creationId xmlns:a16="http://schemas.microsoft.com/office/drawing/2014/main" id="{6A115D0C-4763-94D6-2954-79F5C05CEFE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5" name="Line 6">
          <a:extLst>
            <a:ext uri="{FF2B5EF4-FFF2-40B4-BE49-F238E27FC236}">
              <a16:creationId xmlns:a16="http://schemas.microsoft.com/office/drawing/2014/main" id="{84A03C48-EFE2-63FC-5A4F-5F0CDB70472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6" name="Line 7">
          <a:extLst>
            <a:ext uri="{FF2B5EF4-FFF2-40B4-BE49-F238E27FC236}">
              <a16:creationId xmlns:a16="http://schemas.microsoft.com/office/drawing/2014/main" id="{154EEE71-BDAE-0503-C599-2AA024ED3C3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7" name="Line 8">
          <a:extLst>
            <a:ext uri="{FF2B5EF4-FFF2-40B4-BE49-F238E27FC236}">
              <a16:creationId xmlns:a16="http://schemas.microsoft.com/office/drawing/2014/main" id="{2B6EF39F-FFD2-944E-8CD1-9AAD6116C29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88" name="Line 9">
          <a:extLst>
            <a:ext uri="{FF2B5EF4-FFF2-40B4-BE49-F238E27FC236}">
              <a16:creationId xmlns:a16="http://schemas.microsoft.com/office/drawing/2014/main" id="{8CCA7369-730A-F633-F60E-B302FB0F245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89" name="Line 10">
          <a:extLst>
            <a:ext uri="{FF2B5EF4-FFF2-40B4-BE49-F238E27FC236}">
              <a16:creationId xmlns:a16="http://schemas.microsoft.com/office/drawing/2014/main" id="{6CE26532-F86E-6599-D960-AAF37A46F50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0" name="Line 11">
          <a:extLst>
            <a:ext uri="{FF2B5EF4-FFF2-40B4-BE49-F238E27FC236}">
              <a16:creationId xmlns:a16="http://schemas.microsoft.com/office/drawing/2014/main" id="{90823625-EDE8-B6EB-B00D-73BBB06C173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1" name="Line 12">
          <a:extLst>
            <a:ext uri="{FF2B5EF4-FFF2-40B4-BE49-F238E27FC236}">
              <a16:creationId xmlns:a16="http://schemas.microsoft.com/office/drawing/2014/main" id="{62C9F3A3-4437-4FEC-0ED8-85DE5AC517D6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2" name="Line 13">
          <a:extLst>
            <a:ext uri="{FF2B5EF4-FFF2-40B4-BE49-F238E27FC236}">
              <a16:creationId xmlns:a16="http://schemas.microsoft.com/office/drawing/2014/main" id="{FA8241FB-473B-A528-B532-D46A5FDA253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7393" name="Line 14">
          <a:extLst>
            <a:ext uri="{FF2B5EF4-FFF2-40B4-BE49-F238E27FC236}">
              <a16:creationId xmlns:a16="http://schemas.microsoft.com/office/drawing/2014/main" id="{016FDFE5-C8C1-CCD4-DD2E-B75DD838FA73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7394" name="Line 15">
          <a:extLst>
            <a:ext uri="{FF2B5EF4-FFF2-40B4-BE49-F238E27FC236}">
              <a16:creationId xmlns:a16="http://schemas.microsoft.com/office/drawing/2014/main" id="{FC0626D2-D54F-780A-7CA2-F29EC252F02D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95" name="Line 16">
          <a:extLst>
            <a:ext uri="{FF2B5EF4-FFF2-40B4-BE49-F238E27FC236}">
              <a16:creationId xmlns:a16="http://schemas.microsoft.com/office/drawing/2014/main" id="{DA6D4B94-FAB2-F810-B473-EE8BDA63CE7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7396" name="Line 17">
          <a:extLst>
            <a:ext uri="{FF2B5EF4-FFF2-40B4-BE49-F238E27FC236}">
              <a16:creationId xmlns:a16="http://schemas.microsoft.com/office/drawing/2014/main" id="{5DD62856-015C-7964-75F4-5291AC1D6F54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7397" name="Line 18">
          <a:extLst>
            <a:ext uri="{FF2B5EF4-FFF2-40B4-BE49-F238E27FC236}">
              <a16:creationId xmlns:a16="http://schemas.microsoft.com/office/drawing/2014/main" id="{B62B0A96-0616-C68B-8897-0CD99DF0538C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398" name="Line 19">
          <a:extLst>
            <a:ext uri="{FF2B5EF4-FFF2-40B4-BE49-F238E27FC236}">
              <a16:creationId xmlns:a16="http://schemas.microsoft.com/office/drawing/2014/main" id="{A987E967-A759-00AA-FEC8-99D4A2E78696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399" name="Line 20">
          <a:extLst>
            <a:ext uri="{FF2B5EF4-FFF2-40B4-BE49-F238E27FC236}">
              <a16:creationId xmlns:a16="http://schemas.microsoft.com/office/drawing/2014/main" id="{017D0312-A866-486E-F50A-030194E50E92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0" name="Line 21">
          <a:extLst>
            <a:ext uri="{FF2B5EF4-FFF2-40B4-BE49-F238E27FC236}">
              <a16:creationId xmlns:a16="http://schemas.microsoft.com/office/drawing/2014/main" id="{6A2114BE-B4D5-601C-9FFF-FE4CC1B65E8C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1" name="Line 22">
          <a:extLst>
            <a:ext uri="{FF2B5EF4-FFF2-40B4-BE49-F238E27FC236}">
              <a16:creationId xmlns:a16="http://schemas.microsoft.com/office/drawing/2014/main" id="{BE763E09-DEF1-9E7C-E663-E1C78C79A5E7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402" name="Line 23">
          <a:extLst>
            <a:ext uri="{FF2B5EF4-FFF2-40B4-BE49-F238E27FC236}">
              <a16:creationId xmlns:a16="http://schemas.microsoft.com/office/drawing/2014/main" id="{FEF8394F-52B7-4384-C8AA-35ABABC6CE50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403" name="Line 24">
          <a:extLst>
            <a:ext uri="{FF2B5EF4-FFF2-40B4-BE49-F238E27FC236}">
              <a16:creationId xmlns:a16="http://schemas.microsoft.com/office/drawing/2014/main" id="{9C4E1324-E661-2C72-A4EC-FCD2C40B8B33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4" name="Line 25">
          <a:extLst>
            <a:ext uri="{FF2B5EF4-FFF2-40B4-BE49-F238E27FC236}">
              <a16:creationId xmlns:a16="http://schemas.microsoft.com/office/drawing/2014/main" id="{B441AB9A-2DD3-EF05-EF2E-55E013909706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622E338F-C615-2D73-67DA-5D0B971F50D2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7406" name="Line 27">
          <a:extLst>
            <a:ext uri="{FF2B5EF4-FFF2-40B4-BE49-F238E27FC236}">
              <a16:creationId xmlns:a16="http://schemas.microsoft.com/office/drawing/2014/main" id="{FD72150F-E538-9173-CD0E-3CE2CC836D2E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7407" name="Line 28">
          <a:extLst>
            <a:ext uri="{FF2B5EF4-FFF2-40B4-BE49-F238E27FC236}">
              <a16:creationId xmlns:a16="http://schemas.microsoft.com/office/drawing/2014/main" id="{24385CBB-BBCF-E1CA-66F4-1EF02AF225D7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9C18E199-1EB8-9E4F-6BB3-CEE8A8FF2346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09" name="Line 30">
          <a:extLst>
            <a:ext uri="{FF2B5EF4-FFF2-40B4-BE49-F238E27FC236}">
              <a16:creationId xmlns:a16="http://schemas.microsoft.com/office/drawing/2014/main" id="{028DEDDE-941D-FD4C-597A-D59576D5CF6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0" name="Line 31">
          <a:extLst>
            <a:ext uri="{FF2B5EF4-FFF2-40B4-BE49-F238E27FC236}">
              <a16:creationId xmlns:a16="http://schemas.microsoft.com/office/drawing/2014/main" id="{1DEE6E22-D6B8-8FB6-F2C6-25CC0F6039A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1" name="Line 32">
          <a:extLst>
            <a:ext uri="{FF2B5EF4-FFF2-40B4-BE49-F238E27FC236}">
              <a16:creationId xmlns:a16="http://schemas.microsoft.com/office/drawing/2014/main" id="{6A966BD0-7F51-05CF-6C32-7C99648281F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2" name="Line 33">
          <a:extLst>
            <a:ext uri="{FF2B5EF4-FFF2-40B4-BE49-F238E27FC236}">
              <a16:creationId xmlns:a16="http://schemas.microsoft.com/office/drawing/2014/main" id="{460E523D-1831-0C42-8E85-CF1577ECBF8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7413" name="Rectangle 34">
          <a:extLst>
            <a:ext uri="{FF2B5EF4-FFF2-40B4-BE49-F238E27FC236}">
              <a16:creationId xmlns:a16="http://schemas.microsoft.com/office/drawing/2014/main" id="{89CFCE3E-CC33-4733-22F8-14AC3A541A23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7414" name="Line 35">
          <a:extLst>
            <a:ext uri="{FF2B5EF4-FFF2-40B4-BE49-F238E27FC236}">
              <a16:creationId xmlns:a16="http://schemas.microsoft.com/office/drawing/2014/main" id="{0CA0A8BA-BE1F-11A6-5FC3-D078BB5A49F5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7415" name="Line 36">
          <a:extLst>
            <a:ext uri="{FF2B5EF4-FFF2-40B4-BE49-F238E27FC236}">
              <a16:creationId xmlns:a16="http://schemas.microsoft.com/office/drawing/2014/main" id="{14555360-E1CB-3FDF-8D5B-68FD08BF4F1F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6" name="Line 37">
          <a:extLst>
            <a:ext uri="{FF2B5EF4-FFF2-40B4-BE49-F238E27FC236}">
              <a16:creationId xmlns:a16="http://schemas.microsoft.com/office/drawing/2014/main" id="{C7C15114-635C-3A70-898E-070AD8D67BE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7" name="Line 38">
          <a:extLst>
            <a:ext uri="{FF2B5EF4-FFF2-40B4-BE49-F238E27FC236}">
              <a16:creationId xmlns:a16="http://schemas.microsoft.com/office/drawing/2014/main" id="{E07E1C0A-6948-1C8C-EEF5-C5A492603BE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8" name="Line 39">
          <a:extLst>
            <a:ext uri="{FF2B5EF4-FFF2-40B4-BE49-F238E27FC236}">
              <a16:creationId xmlns:a16="http://schemas.microsoft.com/office/drawing/2014/main" id="{B1206776-82DC-69C6-0F69-70569DC9774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9" name="Line 40">
          <a:extLst>
            <a:ext uri="{FF2B5EF4-FFF2-40B4-BE49-F238E27FC236}">
              <a16:creationId xmlns:a16="http://schemas.microsoft.com/office/drawing/2014/main" id="{91F52801-16EE-786C-A268-A220A3E5693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20" name="Line 41">
          <a:extLst>
            <a:ext uri="{FF2B5EF4-FFF2-40B4-BE49-F238E27FC236}">
              <a16:creationId xmlns:a16="http://schemas.microsoft.com/office/drawing/2014/main" id="{CA3DFACC-3FDA-F73D-EE6E-A26F04B83FC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1" name="Line 42">
          <a:extLst>
            <a:ext uri="{FF2B5EF4-FFF2-40B4-BE49-F238E27FC236}">
              <a16:creationId xmlns:a16="http://schemas.microsoft.com/office/drawing/2014/main" id="{E0656A38-6ED2-F356-8B50-915F2C9A4FE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2" name="Line 43">
          <a:extLst>
            <a:ext uri="{FF2B5EF4-FFF2-40B4-BE49-F238E27FC236}">
              <a16:creationId xmlns:a16="http://schemas.microsoft.com/office/drawing/2014/main" id="{925AC6F4-BF03-6A27-FDF5-EAA66EF2A91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3" name="Line 44">
          <a:extLst>
            <a:ext uri="{FF2B5EF4-FFF2-40B4-BE49-F238E27FC236}">
              <a16:creationId xmlns:a16="http://schemas.microsoft.com/office/drawing/2014/main" id="{529A100E-F9F3-4DA5-70D1-9E057C364156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4" name="Line 45">
          <a:extLst>
            <a:ext uri="{FF2B5EF4-FFF2-40B4-BE49-F238E27FC236}">
              <a16:creationId xmlns:a16="http://schemas.microsoft.com/office/drawing/2014/main" id="{37EA90DA-AF85-41D8-94B3-A9D930D9EB5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5" name="Line 46">
          <a:extLst>
            <a:ext uri="{FF2B5EF4-FFF2-40B4-BE49-F238E27FC236}">
              <a16:creationId xmlns:a16="http://schemas.microsoft.com/office/drawing/2014/main" id="{2C7A3A4B-7A71-28AD-E7C3-D335921D380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7426" name="Line 47">
          <a:extLst>
            <a:ext uri="{FF2B5EF4-FFF2-40B4-BE49-F238E27FC236}">
              <a16:creationId xmlns:a16="http://schemas.microsoft.com/office/drawing/2014/main" id="{2751F665-0FAC-5550-E7F0-94AD1222DFD7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7427" name="Line 48">
          <a:extLst>
            <a:ext uri="{FF2B5EF4-FFF2-40B4-BE49-F238E27FC236}">
              <a16:creationId xmlns:a16="http://schemas.microsoft.com/office/drawing/2014/main" id="{3DD7B27E-538D-3A3E-E878-CEC8376106D3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28" name="Line 49">
          <a:extLst>
            <a:ext uri="{FF2B5EF4-FFF2-40B4-BE49-F238E27FC236}">
              <a16:creationId xmlns:a16="http://schemas.microsoft.com/office/drawing/2014/main" id="{498773F7-6174-4F35-657A-D416DE37657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7429" name="Line 50">
          <a:extLst>
            <a:ext uri="{FF2B5EF4-FFF2-40B4-BE49-F238E27FC236}">
              <a16:creationId xmlns:a16="http://schemas.microsoft.com/office/drawing/2014/main" id="{F25B8AE4-180A-8F99-E562-A5180FFD322F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7430" name="Line 51">
          <a:extLst>
            <a:ext uri="{FF2B5EF4-FFF2-40B4-BE49-F238E27FC236}">
              <a16:creationId xmlns:a16="http://schemas.microsoft.com/office/drawing/2014/main" id="{784F2645-5065-F85E-F12B-6ABECB6D7C22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31" name="Line 52">
          <a:extLst>
            <a:ext uri="{FF2B5EF4-FFF2-40B4-BE49-F238E27FC236}">
              <a16:creationId xmlns:a16="http://schemas.microsoft.com/office/drawing/2014/main" id="{267C105A-C0C4-35BA-4DBB-07E982305A0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32" name="Line 53">
          <a:extLst>
            <a:ext uri="{FF2B5EF4-FFF2-40B4-BE49-F238E27FC236}">
              <a16:creationId xmlns:a16="http://schemas.microsoft.com/office/drawing/2014/main" id="{DCEB5C57-C54C-AE0A-C1CA-BFEAD4DFE6F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33" name="Line 54">
          <a:extLst>
            <a:ext uri="{FF2B5EF4-FFF2-40B4-BE49-F238E27FC236}">
              <a16:creationId xmlns:a16="http://schemas.microsoft.com/office/drawing/2014/main" id="{AA906AE4-9D59-8507-B748-96B6C8F6688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7434" name="Line 55">
          <a:extLst>
            <a:ext uri="{FF2B5EF4-FFF2-40B4-BE49-F238E27FC236}">
              <a16:creationId xmlns:a16="http://schemas.microsoft.com/office/drawing/2014/main" id="{06262065-E772-42CF-75B5-E01F57A7B66D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32B859CF-268A-A371-DE44-98368A04D419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710A1F9B-B75D-27A5-1823-5A48E07716A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2EAD23FD-17D9-7919-CB93-D30675ABFE8E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8C28ED19-BF47-C762-A425-1B8DEA0EFDB7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04B782A3-58DC-41C2-E789-1BDDF2185EA3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DE11E7C0-16C5-ACEE-86A5-5B2B639DA595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7441" name="Line 62">
          <a:extLst>
            <a:ext uri="{FF2B5EF4-FFF2-40B4-BE49-F238E27FC236}">
              <a16:creationId xmlns:a16="http://schemas.microsoft.com/office/drawing/2014/main" id="{EA7443B4-72EC-A664-229D-05CD1833D20B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7442" name="Line 63">
          <a:extLst>
            <a:ext uri="{FF2B5EF4-FFF2-40B4-BE49-F238E27FC236}">
              <a16:creationId xmlns:a16="http://schemas.microsoft.com/office/drawing/2014/main" id="{B50C3F19-8624-2F04-080F-EE17D9978981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7443" name="Line 64">
          <a:extLst>
            <a:ext uri="{FF2B5EF4-FFF2-40B4-BE49-F238E27FC236}">
              <a16:creationId xmlns:a16="http://schemas.microsoft.com/office/drawing/2014/main" id="{B9CC13AE-A5D1-B98A-253F-ACF2AF265754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7444" name="Line 65">
          <a:extLst>
            <a:ext uri="{FF2B5EF4-FFF2-40B4-BE49-F238E27FC236}">
              <a16:creationId xmlns:a16="http://schemas.microsoft.com/office/drawing/2014/main" id="{4062B804-D6BD-8083-0D18-1353C9415C91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7445" name="Line 66">
          <a:extLst>
            <a:ext uri="{FF2B5EF4-FFF2-40B4-BE49-F238E27FC236}">
              <a16:creationId xmlns:a16="http://schemas.microsoft.com/office/drawing/2014/main" id="{B2176071-E022-3771-B7C8-68BBD248BACA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7446" name="Line 67">
          <a:extLst>
            <a:ext uri="{FF2B5EF4-FFF2-40B4-BE49-F238E27FC236}">
              <a16:creationId xmlns:a16="http://schemas.microsoft.com/office/drawing/2014/main" id="{B3955785-181E-3347-ADF1-84E79BB4CD49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06DBE2FA-ECC9-ED6C-2E7E-5E2A216C8B17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7448" name="Line 69">
          <a:extLst>
            <a:ext uri="{FF2B5EF4-FFF2-40B4-BE49-F238E27FC236}">
              <a16:creationId xmlns:a16="http://schemas.microsoft.com/office/drawing/2014/main" id="{731819A0-2F68-DC11-376A-22A2318D9F66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D96B2010-C8D1-4FA6-FFC1-453B0D16B758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7450" name="Line 71">
          <a:extLst>
            <a:ext uri="{FF2B5EF4-FFF2-40B4-BE49-F238E27FC236}">
              <a16:creationId xmlns:a16="http://schemas.microsoft.com/office/drawing/2014/main" id="{868CE7A8-105A-222D-AAA7-04781C43B2F3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7451" name="Line 72">
          <a:extLst>
            <a:ext uri="{FF2B5EF4-FFF2-40B4-BE49-F238E27FC236}">
              <a16:creationId xmlns:a16="http://schemas.microsoft.com/office/drawing/2014/main" id="{96ED9A88-671B-A97C-A2F6-8CD217CBD076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7452" name="Line 73">
          <a:extLst>
            <a:ext uri="{FF2B5EF4-FFF2-40B4-BE49-F238E27FC236}">
              <a16:creationId xmlns:a16="http://schemas.microsoft.com/office/drawing/2014/main" id="{CB29ADA0-5C74-4991-68E9-0DBA7AD77680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E94F9C12-13AA-0571-5159-D6DC8956FE77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1C987CAA-8FFB-6EB0-CBAF-80ECA8EA9D6F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238F72A8-262C-C8C4-F2B0-6043E23D8F22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0BADB5ED-3534-91C4-8105-6760E9F6C815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7457" name="Line 78">
          <a:extLst>
            <a:ext uri="{FF2B5EF4-FFF2-40B4-BE49-F238E27FC236}">
              <a16:creationId xmlns:a16="http://schemas.microsoft.com/office/drawing/2014/main" id="{26D0A2B1-67DF-2BC9-626F-13911688BF31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7458" name="Line 79">
          <a:extLst>
            <a:ext uri="{FF2B5EF4-FFF2-40B4-BE49-F238E27FC236}">
              <a16:creationId xmlns:a16="http://schemas.microsoft.com/office/drawing/2014/main" id="{3575F4CE-F5F6-197A-65C1-D6594DE28C7F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7459" name="Line 80">
          <a:extLst>
            <a:ext uri="{FF2B5EF4-FFF2-40B4-BE49-F238E27FC236}">
              <a16:creationId xmlns:a16="http://schemas.microsoft.com/office/drawing/2014/main" id="{F04B8E14-92F6-0040-52A3-93FF8D827DAF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7460" name="Line 81">
          <a:extLst>
            <a:ext uri="{FF2B5EF4-FFF2-40B4-BE49-F238E27FC236}">
              <a16:creationId xmlns:a16="http://schemas.microsoft.com/office/drawing/2014/main" id="{A803D490-4192-438B-2E3B-BF0B9B567A66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7461" name="Line 82">
          <a:extLst>
            <a:ext uri="{FF2B5EF4-FFF2-40B4-BE49-F238E27FC236}">
              <a16:creationId xmlns:a16="http://schemas.microsoft.com/office/drawing/2014/main" id="{EBE3CC84-2BB3-8109-B122-E59164B73E41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7462" name="Line 83">
          <a:extLst>
            <a:ext uri="{FF2B5EF4-FFF2-40B4-BE49-F238E27FC236}">
              <a16:creationId xmlns:a16="http://schemas.microsoft.com/office/drawing/2014/main" id="{00117446-A4BB-9A4B-6280-0036D45182AE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4461B3C6-F797-42BB-F52A-94997539A455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7464" name="Line 85">
          <a:extLst>
            <a:ext uri="{FF2B5EF4-FFF2-40B4-BE49-F238E27FC236}">
              <a16:creationId xmlns:a16="http://schemas.microsoft.com/office/drawing/2014/main" id="{5EF63949-6CCA-AAFA-BBDB-DA63BB1E3E5F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7465" name="Line 86">
          <a:extLst>
            <a:ext uri="{FF2B5EF4-FFF2-40B4-BE49-F238E27FC236}">
              <a16:creationId xmlns:a16="http://schemas.microsoft.com/office/drawing/2014/main" id="{CFE5727B-3F7E-7C88-12E4-1CED790A74C0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848D1ED0-51E4-79FA-C26F-3CC24F2BED1A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7467" name="Line 88">
          <a:extLst>
            <a:ext uri="{FF2B5EF4-FFF2-40B4-BE49-F238E27FC236}">
              <a16:creationId xmlns:a16="http://schemas.microsoft.com/office/drawing/2014/main" id="{1797C98B-E35A-F2D4-C7FC-E137E0257342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7468" name="Line 89">
          <a:extLst>
            <a:ext uri="{FF2B5EF4-FFF2-40B4-BE49-F238E27FC236}">
              <a16:creationId xmlns:a16="http://schemas.microsoft.com/office/drawing/2014/main" id="{76233360-4E25-DEAC-6AD6-70D984F28F77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7469" name="Line 90">
          <a:extLst>
            <a:ext uri="{FF2B5EF4-FFF2-40B4-BE49-F238E27FC236}">
              <a16:creationId xmlns:a16="http://schemas.microsoft.com/office/drawing/2014/main" id="{4CA81F59-8CC4-AE58-1AAC-A988EA9617E1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7470" name="Line 91">
          <a:extLst>
            <a:ext uri="{FF2B5EF4-FFF2-40B4-BE49-F238E27FC236}">
              <a16:creationId xmlns:a16="http://schemas.microsoft.com/office/drawing/2014/main" id="{BF33EE48-EB0B-57EB-ED6C-07679A7F088C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7471" name="Line 92">
          <a:extLst>
            <a:ext uri="{FF2B5EF4-FFF2-40B4-BE49-F238E27FC236}">
              <a16:creationId xmlns:a16="http://schemas.microsoft.com/office/drawing/2014/main" id="{C4AF7052-71A7-B7B7-8CE8-2486B97854A4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7472" name="AutoShape 93" descr="Stationery">
          <a:extLst>
            <a:ext uri="{FF2B5EF4-FFF2-40B4-BE49-F238E27FC236}">
              <a16:creationId xmlns:a16="http://schemas.microsoft.com/office/drawing/2014/main" id="{723F20AF-0A01-3D0F-A466-834738842033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7473" name="Line 94">
          <a:extLst>
            <a:ext uri="{FF2B5EF4-FFF2-40B4-BE49-F238E27FC236}">
              <a16:creationId xmlns:a16="http://schemas.microsoft.com/office/drawing/2014/main" id="{747F2D81-DDC7-DC1B-1587-C7421B3E430F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7474" name="Line 95">
          <a:extLst>
            <a:ext uri="{FF2B5EF4-FFF2-40B4-BE49-F238E27FC236}">
              <a16:creationId xmlns:a16="http://schemas.microsoft.com/office/drawing/2014/main" id="{9C2E3A2F-26B5-1C29-DE7B-DD8A9CB47C0E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1A7C905A-B5B0-E6E3-581A-04DA4F668900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64494651-4FDA-A347-9AC6-FD2319F9B722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7477" name="Line 98">
          <a:extLst>
            <a:ext uri="{FF2B5EF4-FFF2-40B4-BE49-F238E27FC236}">
              <a16:creationId xmlns:a16="http://schemas.microsoft.com/office/drawing/2014/main" id="{82432A59-40DF-3146-E412-EF4C1E5206D3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7478" name="Line 99">
          <a:extLst>
            <a:ext uri="{FF2B5EF4-FFF2-40B4-BE49-F238E27FC236}">
              <a16:creationId xmlns:a16="http://schemas.microsoft.com/office/drawing/2014/main" id="{4DBC5B90-7956-7251-D9DC-535D71F20CED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7479" name="Line 100">
          <a:extLst>
            <a:ext uri="{FF2B5EF4-FFF2-40B4-BE49-F238E27FC236}">
              <a16:creationId xmlns:a16="http://schemas.microsoft.com/office/drawing/2014/main" id="{77A9A0E8-10C7-063C-36B1-5E803DC03154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7480" name="Line 101">
          <a:extLst>
            <a:ext uri="{FF2B5EF4-FFF2-40B4-BE49-F238E27FC236}">
              <a16:creationId xmlns:a16="http://schemas.microsoft.com/office/drawing/2014/main" id="{96C74F83-E5C3-AB5B-4562-394C7F22622C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81" name="Line 102">
          <a:extLst>
            <a:ext uri="{FF2B5EF4-FFF2-40B4-BE49-F238E27FC236}">
              <a16:creationId xmlns:a16="http://schemas.microsoft.com/office/drawing/2014/main" id="{5DE2B2F9-9590-BC1A-B32C-8B2EA176AB11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868E93A3-8573-E60B-663F-B7C291B5F79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7483" name="Line 104">
          <a:extLst>
            <a:ext uri="{FF2B5EF4-FFF2-40B4-BE49-F238E27FC236}">
              <a16:creationId xmlns:a16="http://schemas.microsoft.com/office/drawing/2014/main" id="{C34EFAB7-30EF-3213-4A7D-E731702AC568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392612C9-23C3-0B77-7FE6-F3866499F510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7485" name="Line 106">
          <a:extLst>
            <a:ext uri="{FF2B5EF4-FFF2-40B4-BE49-F238E27FC236}">
              <a16:creationId xmlns:a16="http://schemas.microsoft.com/office/drawing/2014/main" id="{D19A708E-9A5F-B6AF-A28A-A72D5DC19809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6735EE6B-206E-DD15-4357-1BBA7FC17B6C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7487" name="Freeform 108">
          <a:extLst>
            <a:ext uri="{FF2B5EF4-FFF2-40B4-BE49-F238E27FC236}">
              <a16:creationId xmlns:a16="http://schemas.microsoft.com/office/drawing/2014/main" id="{6B053DAF-2EB4-BFA1-22FC-31A9A1119370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7488" name="Line 109">
          <a:extLst>
            <a:ext uri="{FF2B5EF4-FFF2-40B4-BE49-F238E27FC236}">
              <a16:creationId xmlns:a16="http://schemas.microsoft.com/office/drawing/2014/main" id="{64291CC4-D711-DA11-8E12-6BC4D28B5B40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7489" name="Line 110">
          <a:extLst>
            <a:ext uri="{FF2B5EF4-FFF2-40B4-BE49-F238E27FC236}">
              <a16:creationId xmlns:a16="http://schemas.microsoft.com/office/drawing/2014/main" id="{FE808B23-3A6B-75FD-69F8-D1BCE6412750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7490" name="Line 111">
          <a:extLst>
            <a:ext uri="{FF2B5EF4-FFF2-40B4-BE49-F238E27FC236}">
              <a16:creationId xmlns:a16="http://schemas.microsoft.com/office/drawing/2014/main" id="{0059F799-8DEB-FDA4-2A6B-9401CB850198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7491" name="Line 112">
          <a:extLst>
            <a:ext uri="{FF2B5EF4-FFF2-40B4-BE49-F238E27FC236}">
              <a16:creationId xmlns:a16="http://schemas.microsoft.com/office/drawing/2014/main" id="{91405573-B95E-E282-84EB-A57A8051F72C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7492" name="Line 113">
          <a:extLst>
            <a:ext uri="{FF2B5EF4-FFF2-40B4-BE49-F238E27FC236}">
              <a16:creationId xmlns:a16="http://schemas.microsoft.com/office/drawing/2014/main" id="{EA07D4CF-70BC-E859-5777-A8E80CACF0CF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7493" name="Line 114">
          <a:extLst>
            <a:ext uri="{FF2B5EF4-FFF2-40B4-BE49-F238E27FC236}">
              <a16:creationId xmlns:a16="http://schemas.microsoft.com/office/drawing/2014/main" id="{F20A1EFB-E6FF-66B3-3E95-26BBA414716E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7494" name="Line 115">
          <a:extLst>
            <a:ext uri="{FF2B5EF4-FFF2-40B4-BE49-F238E27FC236}">
              <a16:creationId xmlns:a16="http://schemas.microsoft.com/office/drawing/2014/main" id="{21C68E64-934F-3576-908B-C84ABCB2A7ED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7495" name="Line 116">
          <a:extLst>
            <a:ext uri="{FF2B5EF4-FFF2-40B4-BE49-F238E27FC236}">
              <a16:creationId xmlns:a16="http://schemas.microsoft.com/office/drawing/2014/main" id="{48EAD411-E9E9-D513-C35D-034960ED6FE2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7496" name="Line 117">
          <a:extLst>
            <a:ext uri="{FF2B5EF4-FFF2-40B4-BE49-F238E27FC236}">
              <a16:creationId xmlns:a16="http://schemas.microsoft.com/office/drawing/2014/main" id="{BA4D5E9F-7ACB-5B45-F3D3-A4366536B1E3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7497" name="Line 118">
          <a:extLst>
            <a:ext uri="{FF2B5EF4-FFF2-40B4-BE49-F238E27FC236}">
              <a16:creationId xmlns:a16="http://schemas.microsoft.com/office/drawing/2014/main" id="{881F1C04-BAB5-0DB7-304D-9EC7AA3F3447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98" name="Line 119">
          <a:extLst>
            <a:ext uri="{FF2B5EF4-FFF2-40B4-BE49-F238E27FC236}">
              <a16:creationId xmlns:a16="http://schemas.microsoft.com/office/drawing/2014/main" id="{FA0401A4-2B92-2032-3206-66292178324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99" name="Line 120">
          <a:extLst>
            <a:ext uri="{FF2B5EF4-FFF2-40B4-BE49-F238E27FC236}">
              <a16:creationId xmlns:a16="http://schemas.microsoft.com/office/drawing/2014/main" id="{1EB66898-F0B7-C70C-78E0-1ED24D2ACDE0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500" name="Line 121">
          <a:extLst>
            <a:ext uri="{FF2B5EF4-FFF2-40B4-BE49-F238E27FC236}">
              <a16:creationId xmlns:a16="http://schemas.microsoft.com/office/drawing/2014/main" id="{4B8F6775-BC1F-7857-3088-5F17DDFFE0B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7501" name="Line 122">
          <a:extLst>
            <a:ext uri="{FF2B5EF4-FFF2-40B4-BE49-F238E27FC236}">
              <a16:creationId xmlns:a16="http://schemas.microsoft.com/office/drawing/2014/main" id="{99E8B421-DABA-7C77-A288-E45590E45358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7502" name="Line 123">
          <a:extLst>
            <a:ext uri="{FF2B5EF4-FFF2-40B4-BE49-F238E27FC236}">
              <a16:creationId xmlns:a16="http://schemas.microsoft.com/office/drawing/2014/main" id="{132D6D5D-A9C8-4138-0179-A6682D76247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7503" name="Line 124">
          <a:extLst>
            <a:ext uri="{FF2B5EF4-FFF2-40B4-BE49-F238E27FC236}">
              <a16:creationId xmlns:a16="http://schemas.microsoft.com/office/drawing/2014/main" id="{491EA1F4-94F9-8AED-61B1-66CCE416DA55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7504" name="Line 125">
          <a:extLst>
            <a:ext uri="{FF2B5EF4-FFF2-40B4-BE49-F238E27FC236}">
              <a16:creationId xmlns:a16="http://schemas.microsoft.com/office/drawing/2014/main" id="{8EAA3AFB-690C-C719-5C13-701DB7A33B46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7505" name="Line 126">
          <a:extLst>
            <a:ext uri="{FF2B5EF4-FFF2-40B4-BE49-F238E27FC236}">
              <a16:creationId xmlns:a16="http://schemas.microsoft.com/office/drawing/2014/main" id="{2E40E4CA-7060-BB53-3F83-576A4A61D023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7506" name="Group 127">
          <a:extLst>
            <a:ext uri="{FF2B5EF4-FFF2-40B4-BE49-F238E27FC236}">
              <a16:creationId xmlns:a16="http://schemas.microsoft.com/office/drawing/2014/main" id="{8DF8FD97-BD1E-54C0-7843-F440812D8C4A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7574" name="Oval 128">
            <a:extLst>
              <a:ext uri="{FF2B5EF4-FFF2-40B4-BE49-F238E27FC236}">
                <a16:creationId xmlns:a16="http://schemas.microsoft.com/office/drawing/2014/main" id="{2011D04B-6E46-972C-05AD-D2D9B0484A7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5" name="Line 129">
            <a:extLst>
              <a:ext uri="{FF2B5EF4-FFF2-40B4-BE49-F238E27FC236}">
                <a16:creationId xmlns:a16="http://schemas.microsoft.com/office/drawing/2014/main" id="{46AC004D-64AA-2501-D550-2CAAEC68FD1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7507" name="Group 130">
          <a:extLst>
            <a:ext uri="{FF2B5EF4-FFF2-40B4-BE49-F238E27FC236}">
              <a16:creationId xmlns:a16="http://schemas.microsoft.com/office/drawing/2014/main" id="{F6070B8F-BBFC-84C7-003C-3EA104E14AD2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7572" name="Oval 131">
            <a:extLst>
              <a:ext uri="{FF2B5EF4-FFF2-40B4-BE49-F238E27FC236}">
                <a16:creationId xmlns:a16="http://schemas.microsoft.com/office/drawing/2014/main" id="{8A574FB2-7631-0252-59A0-EF5805AEA99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3" name="Line 132">
            <a:extLst>
              <a:ext uri="{FF2B5EF4-FFF2-40B4-BE49-F238E27FC236}">
                <a16:creationId xmlns:a16="http://schemas.microsoft.com/office/drawing/2014/main" id="{6ED564F4-1D4E-E700-4037-269D3579F4A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7508" name="Group 133">
          <a:extLst>
            <a:ext uri="{FF2B5EF4-FFF2-40B4-BE49-F238E27FC236}">
              <a16:creationId xmlns:a16="http://schemas.microsoft.com/office/drawing/2014/main" id="{8F82AD17-8406-7151-41F4-2EFB38B5F75F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7570" name="Oval 134">
            <a:extLst>
              <a:ext uri="{FF2B5EF4-FFF2-40B4-BE49-F238E27FC236}">
                <a16:creationId xmlns:a16="http://schemas.microsoft.com/office/drawing/2014/main" id="{0FEF5913-454E-70E2-8C09-BEC4AF68B1F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1" name="Line 135">
            <a:extLst>
              <a:ext uri="{FF2B5EF4-FFF2-40B4-BE49-F238E27FC236}">
                <a16:creationId xmlns:a16="http://schemas.microsoft.com/office/drawing/2014/main" id="{60012E89-68CD-E8F7-7FE8-549F02B6ED6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7509" name="Group 136">
          <a:extLst>
            <a:ext uri="{FF2B5EF4-FFF2-40B4-BE49-F238E27FC236}">
              <a16:creationId xmlns:a16="http://schemas.microsoft.com/office/drawing/2014/main" id="{1FF68009-C461-9C9A-7A78-A7450A0D1EBE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7568" name="Oval 137">
            <a:extLst>
              <a:ext uri="{FF2B5EF4-FFF2-40B4-BE49-F238E27FC236}">
                <a16:creationId xmlns:a16="http://schemas.microsoft.com/office/drawing/2014/main" id="{6969F062-8DF5-CF40-481E-934118940F9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9" name="Line 138">
            <a:extLst>
              <a:ext uri="{FF2B5EF4-FFF2-40B4-BE49-F238E27FC236}">
                <a16:creationId xmlns:a16="http://schemas.microsoft.com/office/drawing/2014/main" id="{526A751B-E8E5-FB45-24E0-8A913F2C271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7510" name="Group 139">
          <a:extLst>
            <a:ext uri="{FF2B5EF4-FFF2-40B4-BE49-F238E27FC236}">
              <a16:creationId xmlns:a16="http://schemas.microsoft.com/office/drawing/2014/main" id="{B89CBC12-490D-6DCD-B978-15C2A1315C06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7566" name="Oval 140">
            <a:extLst>
              <a:ext uri="{FF2B5EF4-FFF2-40B4-BE49-F238E27FC236}">
                <a16:creationId xmlns:a16="http://schemas.microsoft.com/office/drawing/2014/main" id="{28F75E79-8F40-CC63-2B12-733973FA1E5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7" name="Line 141">
            <a:extLst>
              <a:ext uri="{FF2B5EF4-FFF2-40B4-BE49-F238E27FC236}">
                <a16:creationId xmlns:a16="http://schemas.microsoft.com/office/drawing/2014/main" id="{0A259419-277B-4893-CF45-5695FA7F6E5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7511" name="Group 142">
          <a:extLst>
            <a:ext uri="{FF2B5EF4-FFF2-40B4-BE49-F238E27FC236}">
              <a16:creationId xmlns:a16="http://schemas.microsoft.com/office/drawing/2014/main" id="{215CFE1D-16DC-489F-8F43-5844CAA53470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7564" name="Oval 143">
            <a:extLst>
              <a:ext uri="{FF2B5EF4-FFF2-40B4-BE49-F238E27FC236}">
                <a16:creationId xmlns:a16="http://schemas.microsoft.com/office/drawing/2014/main" id="{342F00DD-18E6-A6CC-11FE-2A509D23BF2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5" name="Line 144">
            <a:extLst>
              <a:ext uri="{FF2B5EF4-FFF2-40B4-BE49-F238E27FC236}">
                <a16:creationId xmlns:a16="http://schemas.microsoft.com/office/drawing/2014/main" id="{DD26431B-8E10-9030-5F10-613A8318426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7512" name="Group 145">
          <a:extLst>
            <a:ext uri="{FF2B5EF4-FFF2-40B4-BE49-F238E27FC236}">
              <a16:creationId xmlns:a16="http://schemas.microsoft.com/office/drawing/2014/main" id="{9164818F-BA65-C47E-22E7-67495697A313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7562" name="Oval 146">
            <a:extLst>
              <a:ext uri="{FF2B5EF4-FFF2-40B4-BE49-F238E27FC236}">
                <a16:creationId xmlns:a16="http://schemas.microsoft.com/office/drawing/2014/main" id="{2550208B-C7AD-DEFC-2628-A6859A310C3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3" name="Line 147">
            <a:extLst>
              <a:ext uri="{FF2B5EF4-FFF2-40B4-BE49-F238E27FC236}">
                <a16:creationId xmlns:a16="http://schemas.microsoft.com/office/drawing/2014/main" id="{9FDD1E4F-1DA7-9093-10E8-86BE49769AB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F8F62926-0872-6D7E-36B4-2B24179FE590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7514" name="Line 149">
          <a:extLst>
            <a:ext uri="{FF2B5EF4-FFF2-40B4-BE49-F238E27FC236}">
              <a16:creationId xmlns:a16="http://schemas.microsoft.com/office/drawing/2014/main" id="{B1A26D0A-B53C-343D-994F-A2CF0A976730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7515" name="Line 150">
          <a:extLst>
            <a:ext uri="{FF2B5EF4-FFF2-40B4-BE49-F238E27FC236}">
              <a16:creationId xmlns:a16="http://schemas.microsoft.com/office/drawing/2014/main" id="{A8109B38-9AC1-D338-CD5F-875709E72C39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CE55D4A6-EC46-D644-F9CA-C231EEC926F5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7517" name="Line 153">
          <a:extLst>
            <a:ext uri="{FF2B5EF4-FFF2-40B4-BE49-F238E27FC236}">
              <a16:creationId xmlns:a16="http://schemas.microsoft.com/office/drawing/2014/main" id="{2BD13368-13E9-EC82-BD3A-FFFE128FBDB5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7518" name="Line 154">
          <a:extLst>
            <a:ext uri="{FF2B5EF4-FFF2-40B4-BE49-F238E27FC236}">
              <a16:creationId xmlns:a16="http://schemas.microsoft.com/office/drawing/2014/main" id="{0AEEF017-32C3-1A59-0946-34A9B4F4A559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7519" name="Freeform 155">
          <a:extLst>
            <a:ext uri="{FF2B5EF4-FFF2-40B4-BE49-F238E27FC236}">
              <a16:creationId xmlns:a16="http://schemas.microsoft.com/office/drawing/2014/main" id="{E48E9162-4B85-3D2D-8C28-68C310E44D53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7520" name="Line 156">
          <a:extLst>
            <a:ext uri="{FF2B5EF4-FFF2-40B4-BE49-F238E27FC236}">
              <a16:creationId xmlns:a16="http://schemas.microsoft.com/office/drawing/2014/main" id="{59BE4B13-2C93-3664-9E5C-74ABA8146C40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7521" name="Line 157">
          <a:extLst>
            <a:ext uri="{FF2B5EF4-FFF2-40B4-BE49-F238E27FC236}">
              <a16:creationId xmlns:a16="http://schemas.microsoft.com/office/drawing/2014/main" id="{E2ACF3F9-7435-FB33-1BEC-8563BAA92BF3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7522" name="Line 158">
          <a:extLst>
            <a:ext uri="{FF2B5EF4-FFF2-40B4-BE49-F238E27FC236}">
              <a16:creationId xmlns:a16="http://schemas.microsoft.com/office/drawing/2014/main" id="{F9595B40-676F-BDE8-60B0-FF321BFF9756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7523" name="Line 160">
          <a:extLst>
            <a:ext uri="{FF2B5EF4-FFF2-40B4-BE49-F238E27FC236}">
              <a16:creationId xmlns:a16="http://schemas.microsoft.com/office/drawing/2014/main" id="{BACBE10A-82C1-3D47-6FF6-1D86DD35AAC6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7524" name="Line 161">
          <a:extLst>
            <a:ext uri="{FF2B5EF4-FFF2-40B4-BE49-F238E27FC236}">
              <a16:creationId xmlns:a16="http://schemas.microsoft.com/office/drawing/2014/main" id="{3E6A9C04-A8C1-B527-1457-FA7FC89C78C9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7525" name="Line 162">
          <a:extLst>
            <a:ext uri="{FF2B5EF4-FFF2-40B4-BE49-F238E27FC236}">
              <a16:creationId xmlns:a16="http://schemas.microsoft.com/office/drawing/2014/main" id="{D8B42F03-6CD5-BE28-6790-98AAA636CF72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7526" name="Line 163">
          <a:extLst>
            <a:ext uri="{FF2B5EF4-FFF2-40B4-BE49-F238E27FC236}">
              <a16:creationId xmlns:a16="http://schemas.microsoft.com/office/drawing/2014/main" id="{4018E185-1421-C34D-907F-9427874607C3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7527" name="Line 164">
          <a:extLst>
            <a:ext uri="{FF2B5EF4-FFF2-40B4-BE49-F238E27FC236}">
              <a16:creationId xmlns:a16="http://schemas.microsoft.com/office/drawing/2014/main" id="{C70C9E29-EF8C-671F-14BE-2A2F5D04989D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7528" name="Line 165">
          <a:extLst>
            <a:ext uri="{FF2B5EF4-FFF2-40B4-BE49-F238E27FC236}">
              <a16:creationId xmlns:a16="http://schemas.microsoft.com/office/drawing/2014/main" id="{1A87068D-4650-0082-A2F2-3287E8F5B656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A883337A-86FE-B85B-3564-1AF131E49311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10BD716B-E654-59F7-2D79-0D2D8FC06C09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7531" name="Line 2509">
          <a:extLst>
            <a:ext uri="{FF2B5EF4-FFF2-40B4-BE49-F238E27FC236}">
              <a16:creationId xmlns:a16="http://schemas.microsoft.com/office/drawing/2014/main" id="{029A9A7A-18C0-056C-B396-18ACC9CA0EB5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82C70D8D-AB6F-9DA1-BE25-03275065F82B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E844941D-FB2E-BC2B-11BF-9BFFF51902FA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7534" name="Group 183">
          <a:extLst>
            <a:ext uri="{FF2B5EF4-FFF2-40B4-BE49-F238E27FC236}">
              <a16:creationId xmlns:a16="http://schemas.microsoft.com/office/drawing/2014/main" id="{209A6617-0322-0FC0-A68D-36887E004A90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34D1C9C2-FC73-6879-3E98-B73B0ACD65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7554" name="Line 2507">
            <a:extLst>
              <a:ext uri="{FF2B5EF4-FFF2-40B4-BE49-F238E27FC236}">
                <a16:creationId xmlns:a16="http://schemas.microsoft.com/office/drawing/2014/main" id="{AE34C272-2214-5AAF-878C-845CDF0D3787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B0F46518-88A7-F182-2DB6-9C6CA48FFECD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6074B441-1B7D-D9E5-CF7F-E2CAE1A59D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DBCE484C-F768-D3A8-2416-921B1870B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0EB1950E-C657-1FA0-7D19-3512AD1A3C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80D14BA-BC14-FC82-31D4-F1F6455ED2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7560" name="Line 2515">
            <a:extLst>
              <a:ext uri="{FF2B5EF4-FFF2-40B4-BE49-F238E27FC236}">
                <a16:creationId xmlns:a16="http://schemas.microsoft.com/office/drawing/2014/main" id="{A1B77E97-81E4-E8BA-685E-4D00168AC741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8742FF4C-97D8-9A24-058A-6E057526CAFD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21BB16C1-92F9-5A35-CCC2-E0B35E8B51DE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30FD3518-1BF2-4DF0-8700-542E9E13AB6F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012615A2-6C8C-E3CC-F336-8124CD002045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1393546B-5C3F-476E-5939-DD68C894B7D7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FFE74ECA-2C9C-C894-AC0B-D09E8ADD1177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4F18C81F-191F-DE30-164B-515EDCC68D99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7541" name="Line 2515">
          <a:extLst>
            <a:ext uri="{FF2B5EF4-FFF2-40B4-BE49-F238E27FC236}">
              <a16:creationId xmlns:a16="http://schemas.microsoft.com/office/drawing/2014/main" id="{E345E09E-2208-0CB0-F22E-980670AEBC77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34747385-6D18-6185-5AD3-7DD75C875771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B81C210-84A3-0356-624B-911C347FD7E5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DE7236B2-DBC8-4671-A535-DB02259C95E6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23D628CC-1B8E-850C-BB49-DB0129FBBA57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673E6549-6556-4E32-139A-4C8174D3F861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0C684BDF-5D53-F591-F6AA-888040246469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EB13D227-CCC0-DC2A-9218-2894D92C0C84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815EE42E-46FA-ECB6-2577-2D8143B1D88D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1C0D74E9-1273-B857-18BF-5F57B665880E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6D19EF9A-BB90-578C-38A3-3881E4D637A9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1E86EBB8-8DA3-A737-6FCE-5D082FCF01DE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8404" name="Rectangle 1">
          <a:extLst>
            <a:ext uri="{FF2B5EF4-FFF2-40B4-BE49-F238E27FC236}">
              <a16:creationId xmlns:a16="http://schemas.microsoft.com/office/drawing/2014/main" id="{B5AFDFB9-A8D3-9FD0-BAF1-0AD7AE9EF326}"/>
            </a:ext>
          </a:extLst>
        </xdr:cNvPr>
        <xdr:cNvSpPr>
          <a:spLocks noChangeArrowheads="1"/>
        </xdr:cNvSpPr>
      </xdr:nvSpPr>
      <xdr:spPr bwMode="auto">
        <a:xfrm>
          <a:off x="96774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8405" name="Line 2">
          <a:extLst>
            <a:ext uri="{FF2B5EF4-FFF2-40B4-BE49-F238E27FC236}">
              <a16:creationId xmlns:a16="http://schemas.microsoft.com/office/drawing/2014/main" id="{320B6B88-07D6-9050-3C30-FFC805E20827}"/>
            </a:ext>
          </a:extLst>
        </xdr:cNvPr>
        <xdr:cNvSpPr>
          <a:spLocks noChangeShapeType="1"/>
        </xdr:cNvSpPr>
      </xdr:nvSpPr>
      <xdr:spPr bwMode="auto">
        <a:xfrm>
          <a:off x="108051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8406" name="Line 3">
          <a:extLst>
            <a:ext uri="{FF2B5EF4-FFF2-40B4-BE49-F238E27FC236}">
              <a16:creationId xmlns:a16="http://schemas.microsoft.com/office/drawing/2014/main" id="{5E3D919F-E8E9-0811-763C-347CC9549A51}"/>
            </a:ext>
          </a:extLst>
        </xdr:cNvPr>
        <xdr:cNvSpPr>
          <a:spLocks noChangeShapeType="1"/>
        </xdr:cNvSpPr>
      </xdr:nvSpPr>
      <xdr:spPr bwMode="auto">
        <a:xfrm>
          <a:off x="13045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7" name="Line 4">
          <a:extLst>
            <a:ext uri="{FF2B5EF4-FFF2-40B4-BE49-F238E27FC236}">
              <a16:creationId xmlns:a16="http://schemas.microsoft.com/office/drawing/2014/main" id="{678EE37E-FBFC-042C-D0D2-18CE2E4624FA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8" name="Line 5">
          <a:extLst>
            <a:ext uri="{FF2B5EF4-FFF2-40B4-BE49-F238E27FC236}">
              <a16:creationId xmlns:a16="http://schemas.microsoft.com/office/drawing/2014/main" id="{26571FD4-BA31-4993-B809-3608972E958B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9" name="Line 6">
          <a:extLst>
            <a:ext uri="{FF2B5EF4-FFF2-40B4-BE49-F238E27FC236}">
              <a16:creationId xmlns:a16="http://schemas.microsoft.com/office/drawing/2014/main" id="{4D956585-F9C2-797C-D7EE-D2100A98CB1A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0" name="Line 7">
          <a:extLst>
            <a:ext uri="{FF2B5EF4-FFF2-40B4-BE49-F238E27FC236}">
              <a16:creationId xmlns:a16="http://schemas.microsoft.com/office/drawing/2014/main" id="{8B4D4B3E-CF4E-5BFE-CB61-9241028A0763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1" name="Line 8">
          <a:extLst>
            <a:ext uri="{FF2B5EF4-FFF2-40B4-BE49-F238E27FC236}">
              <a16:creationId xmlns:a16="http://schemas.microsoft.com/office/drawing/2014/main" id="{49D378F9-C9CB-BE74-18BB-40C5AFD93754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2" name="Line 9">
          <a:extLst>
            <a:ext uri="{FF2B5EF4-FFF2-40B4-BE49-F238E27FC236}">
              <a16:creationId xmlns:a16="http://schemas.microsoft.com/office/drawing/2014/main" id="{20F5EAEF-2C21-FCDD-F28D-D5AF5E268796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3" name="Line 10">
          <a:extLst>
            <a:ext uri="{FF2B5EF4-FFF2-40B4-BE49-F238E27FC236}">
              <a16:creationId xmlns:a16="http://schemas.microsoft.com/office/drawing/2014/main" id="{571E4721-1848-E773-A03D-43BE898C167F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4" name="Line 11">
          <a:extLst>
            <a:ext uri="{FF2B5EF4-FFF2-40B4-BE49-F238E27FC236}">
              <a16:creationId xmlns:a16="http://schemas.microsoft.com/office/drawing/2014/main" id="{E4EA8327-1605-E55D-A7F4-DDA569D1091E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5" name="Line 12">
          <a:extLst>
            <a:ext uri="{FF2B5EF4-FFF2-40B4-BE49-F238E27FC236}">
              <a16:creationId xmlns:a16="http://schemas.microsoft.com/office/drawing/2014/main" id="{4780C9D7-BA43-B886-1CA8-F3ABDAF923F1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6" name="Line 13">
          <a:extLst>
            <a:ext uri="{FF2B5EF4-FFF2-40B4-BE49-F238E27FC236}">
              <a16:creationId xmlns:a16="http://schemas.microsoft.com/office/drawing/2014/main" id="{664BFBD8-BEC6-DE09-C880-1C2901033D9C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8417" name="Line 14">
          <a:extLst>
            <a:ext uri="{FF2B5EF4-FFF2-40B4-BE49-F238E27FC236}">
              <a16:creationId xmlns:a16="http://schemas.microsoft.com/office/drawing/2014/main" id="{E70812FB-0979-96A9-EE77-EA20CEB03D8C}"/>
            </a:ext>
          </a:extLst>
        </xdr:cNvPr>
        <xdr:cNvSpPr>
          <a:spLocks noChangeShapeType="1"/>
        </xdr:cNvSpPr>
      </xdr:nvSpPr>
      <xdr:spPr bwMode="auto">
        <a:xfrm flipV="1">
          <a:off x="13037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8418" name="Line 15">
          <a:extLst>
            <a:ext uri="{FF2B5EF4-FFF2-40B4-BE49-F238E27FC236}">
              <a16:creationId xmlns:a16="http://schemas.microsoft.com/office/drawing/2014/main" id="{BBF91556-BA6E-B2F9-55A0-2D85DB017F97}"/>
            </a:ext>
          </a:extLst>
        </xdr:cNvPr>
        <xdr:cNvSpPr>
          <a:spLocks noChangeShapeType="1"/>
        </xdr:cNvSpPr>
      </xdr:nvSpPr>
      <xdr:spPr bwMode="auto">
        <a:xfrm flipV="1">
          <a:off x="123977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9" name="Line 16">
          <a:extLst>
            <a:ext uri="{FF2B5EF4-FFF2-40B4-BE49-F238E27FC236}">
              <a16:creationId xmlns:a16="http://schemas.microsoft.com/office/drawing/2014/main" id="{BB944440-41F7-D20B-D997-A18464F7A1E9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8420" name="Line 17">
          <a:extLst>
            <a:ext uri="{FF2B5EF4-FFF2-40B4-BE49-F238E27FC236}">
              <a16:creationId xmlns:a16="http://schemas.microsoft.com/office/drawing/2014/main" id="{6D1387FC-E9D7-A248-E004-2184BAE39A49}"/>
            </a:ext>
          </a:extLst>
        </xdr:cNvPr>
        <xdr:cNvSpPr>
          <a:spLocks noChangeShapeType="1"/>
        </xdr:cNvSpPr>
      </xdr:nvSpPr>
      <xdr:spPr bwMode="auto">
        <a:xfrm>
          <a:off x="152247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8421" name="Line 18">
          <a:extLst>
            <a:ext uri="{FF2B5EF4-FFF2-40B4-BE49-F238E27FC236}">
              <a16:creationId xmlns:a16="http://schemas.microsoft.com/office/drawing/2014/main" id="{341B54D9-1CE8-E173-2F23-3BA4B846D497}"/>
            </a:ext>
          </a:extLst>
        </xdr:cNvPr>
        <xdr:cNvSpPr>
          <a:spLocks noChangeShapeType="1"/>
        </xdr:cNvSpPr>
      </xdr:nvSpPr>
      <xdr:spPr bwMode="auto">
        <a:xfrm flipV="1">
          <a:off x="130225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2" name="Line 19">
          <a:extLst>
            <a:ext uri="{FF2B5EF4-FFF2-40B4-BE49-F238E27FC236}">
              <a16:creationId xmlns:a16="http://schemas.microsoft.com/office/drawing/2014/main" id="{28C2F242-F856-45A1-81F4-04A7E265F5E5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3" name="Line 20">
          <a:extLst>
            <a:ext uri="{FF2B5EF4-FFF2-40B4-BE49-F238E27FC236}">
              <a16:creationId xmlns:a16="http://schemas.microsoft.com/office/drawing/2014/main" id="{5218F8CC-F915-B2A3-742B-A600F515DA6A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4" name="Line 21">
          <a:extLst>
            <a:ext uri="{FF2B5EF4-FFF2-40B4-BE49-F238E27FC236}">
              <a16:creationId xmlns:a16="http://schemas.microsoft.com/office/drawing/2014/main" id="{DD652CE6-5822-E524-7A72-9F1245DB47B9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5" name="Line 22">
          <a:extLst>
            <a:ext uri="{FF2B5EF4-FFF2-40B4-BE49-F238E27FC236}">
              <a16:creationId xmlns:a16="http://schemas.microsoft.com/office/drawing/2014/main" id="{8598AABB-2FC7-0AD6-3F1B-471D5015D500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6" name="Line 23">
          <a:extLst>
            <a:ext uri="{FF2B5EF4-FFF2-40B4-BE49-F238E27FC236}">
              <a16:creationId xmlns:a16="http://schemas.microsoft.com/office/drawing/2014/main" id="{AAE97BCF-8D79-901B-2DCA-E9190C0C3D2C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7" name="Line 24">
          <a:extLst>
            <a:ext uri="{FF2B5EF4-FFF2-40B4-BE49-F238E27FC236}">
              <a16:creationId xmlns:a16="http://schemas.microsoft.com/office/drawing/2014/main" id="{D3D51DB9-39AC-1ADF-28E9-5CED50017D18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8" name="Line 25">
          <a:extLst>
            <a:ext uri="{FF2B5EF4-FFF2-40B4-BE49-F238E27FC236}">
              <a16:creationId xmlns:a16="http://schemas.microsoft.com/office/drawing/2014/main" id="{266F775D-C155-31BD-C2C5-6DD74DCCC733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5C9A1882-8EAE-CD95-13D5-2990EB29E583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8430" name="Line 27">
          <a:extLst>
            <a:ext uri="{FF2B5EF4-FFF2-40B4-BE49-F238E27FC236}">
              <a16:creationId xmlns:a16="http://schemas.microsoft.com/office/drawing/2014/main" id="{3467D8B8-29B2-34C4-1C57-14F0A0989454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8431" name="Line 28">
          <a:extLst>
            <a:ext uri="{FF2B5EF4-FFF2-40B4-BE49-F238E27FC236}">
              <a16:creationId xmlns:a16="http://schemas.microsoft.com/office/drawing/2014/main" id="{111ED6DC-0859-6BF8-79CC-44155C15A3E2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6BDDD0B8-E9A0-9F8F-A04A-14A4ED606F2D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3" name="Line 30">
          <a:extLst>
            <a:ext uri="{FF2B5EF4-FFF2-40B4-BE49-F238E27FC236}">
              <a16:creationId xmlns:a16="http://schemas.microsoft.com/office/drawing/2014/main" id="{1A12578A-21ED-B977-0E77-CB47F169950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4" name="Line 31">
          <a:extLst>
            <a:ext uri="{FF2B5EF4-FFF2-40B4-BE49-F238E27FC236}">
              <a16:creationId xmlns:a16="http://schemas.microsoft.com/office/drawing/2014/main" id="{113B6878-033D-441E-C5AA-BC25F5F0CC2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5" name="Line 32">
          <a:extLst>
            <a:ext uri="{FF2B5EF4-FFF2-40B4-BE49-F238E27FC236}">
              <a16:creationId xmlns:a16="http://schemas.microsoft.com/office/drawing/2014/main" id="{F70F5097-710D-1E65-136D-D70A4F34613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6" name="Line 33">
          <a:extLst>
            <a:ext uri="{FF2B5EF4-FFF2-40B4-BE49-F238E27FC236}">
              <a16:creationId xmlns:a16="http://schemas.microsoft.com/office/drawing/2014/main" id="{8F252353-091A-2358-6534-FA4C72868EE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8437" name="Rectangle 34">
          <a:extLst>
            <a:ext uri="{FF2B5EF4-FFF2-40B4-BE49-F238E27FC236}">
              <a16:creationId xmlns:a16="http://schemas.microsoft.com/office/drawing/2014/main" id="{987B3097-35FA-94E5-54E9-15FE49356638}"/>
            </a:ext>
          </a:extLst>
        </xdr:cNvPr>
        <xdr:cNvSpPr>
          <a:spLocks noChangeArrowheads="1"/>
        </xdr:cNvSpPr>
      </xdr:nvSpPr>
      <xdr:spPr bwMode="auto">
        <a:xfrm>
          <a:off x="96774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8438" name="Line 35">
          <a:extLst>
            <a:ext uri="{FF2B5EF4-FFF2-40B4-BE49-F238E27FC236}">
              <a16:creationId xmlns:a16="http://schemas.microsoft.com/office/drawing/2014/main" id="{2FF61ED9-40C5-38A4-CF11-1A27AA65920F}"/>
            </a:ext>
          </a:extLst>
        </xdr:cNvPr>
        <xdr:cNvSpPr>
          <a:spLocks noChangeShapeType="1"/>
        </xdr:cNvSpPr>
      </xdr:nvSpPr>
      <xdr:spPr bwMode="auto">
        <a:xfrm>
          <a:off x="108051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8439" name="Line 36">
          <a:extLst>
            <a:ext uri="{FF2B5EF4-FFF2-40B4-BE49-F238E27FC236}">
              <a16:creationId xmlns:a16="http://schemas.microsoft.com/office/drawing/2014/main" id="{F475EEFB-8DA7-2457-79A9-10A624CE3472}"/>
            </a:ext>
          </a:extLst>
        </xdr:cNvPr>
        <xdr:cNvSpPr>
          <a:spLocks noChangeShapeType="1"/>
        </xdr:cNvSpPr>
      </xdr:nvSpPr>
      <xdr:spPr bwMode="auto">
        <a:xfrm>
          <a:off x="13045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0" name="Line 37">
          <a:extLst>
            <a:ext uri="{FF2B5EF4-FFF2-40B4-BE49-F238E27FC236}">
              <a16:creationId xmlns:a16="http://schemas.microsoft.com/office/drawing/2014/main" id="{01648343-8241-452C-2E38-9FAA0335E495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1" name="Line 38">
          <a:extLst>
            <a:ext uri="{FF2B5EF4-FFF2-40B4-BE49-F238E27FC236}">
              <a16:creationId xmlns:a16="http://schemas.microsoft.com/office/drawing/2014/main" id="{D53FF882-F83A-B511-C474-EAF9449D3808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2" name="Line 39">
          <a:extLst>
            <a:ext uri="{FF2B5EF4-FFF2-40B4-BE49-F238E27FC236}">
              <a16:creationId xmlns:a16="http://schemas.microsoft.com/office/drawing/2014/main" id="{602E00B5-E78B-DD91-D669-AD64EC2F6EB1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3" name="Line 40">
          <a:extLst>
            <a:ext uri="{FF2B5EF4-FFF2-40B4-BE49-F238E27FC236}">
              <a16:creationId xmlns:a16="http://schemas.microsoft.com/office/drawing/2014/main" id="{3DB14DB3-A3D4-9198-015D-D7AE0CBFCF52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4" name="Line 41">
          <a:extLst>
            <a:ext uri="{FF2B5EF4-FFF2-40B4-BE49-F238E27FC236}">
              <a16:creationId xmlns:a16="http://schemas.microsoft.com/office/drawing/2014/main" id="{1099ABAC-B68D-7BD7-0B09-B332E1D6B366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5" name="Line 42">
          <a:extLst>
            <a:ext uri="{FF2B5EF4-FFF2-40B4-BE49-F238E27FC236}">
              <a16:creationId xmlns:a16="http://schemas.microsoft.com/office/drawing/2014/main" id="{A550970D-DE18-BCA2-6435-E09F3C239AA1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6" name="Line 43">
          <a:extLst>
            <a:ext uri="{FF2B5EF4-FFF2-40B4-BE49-F238E27FC236}">
              <a16:creationId xmlns:a16="http://schemas.microsoft.com/office/drawing/2014/main" id="{4114BBA4-60FB-48E2-0877-512CE66DCBD1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7" name="Line 44">
          <a:extLst>
            <a:ext uri="{FF2B5EF4-FFF2-40B4-BE49-F238E27FC236}">
              <a16:creationId xmlns:a16="http://schemas.microsoft.com/office/drawing/2014/main" id="{07FB6648-1C1E-ED21-68B5-F6C6D76802A4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8" name="Line 45">
          <a:extLst>
            <a:ext uri="{FF2B5EF4-FFF2-40B4-BE49-F238E27FC236}">
              <a16:creationId xmlns:a16="http://schemas.microsoft.com/office/drawing/2014/main" id="{36D0A8F4-3B8D-AEF7-CB8E-D5E61A40C21B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9" name="Line 46">
          <a:extLst>
            <a:ext uri="{FF2B5EF4-FFF2-40B4-BE49-F238E27FC236}">
              <a16:creationId xmlns:a16="http://schemas.microsoft.com/office/drawing/2014/main" id="{7F58E7D1-0C8A-A34F-E531-16AEFDFCABDB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8450" name="Line 47">
          <a:extLst>
            <a:ext uri="{FF2B5EF4-FFF2-40B4-BE49-F238E27FC236}">
              <a16:creationId xmlns:a16="http://schemas.microsoft.com/office/drawing/2014/main" id="{9FC766F5-F5D7-A018-29D2-DA241F38C9B4}"/>
            </a:ext>
          </a:extLst>
        </xdr:cNvPr>
        <xdr:cNvSpPr>
          <a:spLocks noChangeShapeType="1"/>
        </xdr:cNvSpPr>
      </xdr:nvSpPr>
      <xdr:spPr bwMode="auto">
        <a:xfrm flipV="1">
          <a:off x="13037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8451" name="Line 48">
          <a:extLst>
            <a:ext uri="{FF2B5EF4-FFF2-40B4-BE49-F238E27FC236}">
              <a16:creationId xmlns:a16="http://schemas.microsoft.com/office/drawing/2014/main" id="{050E855F-1C0D-9FAB-D0FC-F7FB1F6557CD}"/>
            </a:ext>
          </a:extLst>
        </xdr:cNvPr>
        <xdr:cNvSpPr>
          <a:spLocks noChangeShapeType="1"/>
        </xdr:cNvSpPr>
      </xdr:nvSpPr>
      <xdr:spPr bwMode="auto">
        <a:xfrm flipV="1">
          <a:off x="123977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52" name="Line 49">
          <a:extLst>
            <a:ext uri="{FF2B5EF4-FFF2-40B4-BE49-F238E27FC236}">
              <a16:creationId xmlns:a16="http://schemas.microsoft.com/office/drawing/2014/main" id="{10B2821D-E429-B8BF-A68E-3B5B803FE4EE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8453" name="Line 50">
          <a:extLst>
            <a:ext uri="{FF2B5EF4-FFF2-40B4-BE49-F238E27FC236}">
              <a16:creationId xmlns:a16="http://schemas.microsoft.com/office/drawing/2014/main" id="{9E8036B8-26A7-71F2-EEF6-328796191932}"/>
            </a:ext>
          </a:extLst>
        </xdr:cNvPr>
        <xdr:cNvSpPr>
          <a:spLocks noChangeShapeType="1"/>
        </xdr:cNvSpPr>
      </xdr:nvSpPr>
      <xdr:spPr bwMode="auto">
        <a:xfrm>
          <a:off x="152247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8454" name="Line 51">
          <a:extLst>
            <a:ext uri="{FF2B5EF4-FFF2-40B4-BE49-F238E27FC236}">
              <a16:creationId xmlns:a16="http://schemas.microsoft.com/office/drawing/2014/main" id="{4C2C5C1B-1765-C4C6-8D61-396971E0F65E}"/>
            </a:ext>
          </a:extLst>
        </xdr:cNvPr>
        <xdr:cNvSpPr>
          <a:spLocks noChangeShapeType="1"/>
        </xdr:cNvSpPr>
      </xdr:nvSpPr>
      <xdr:spPr bwMode="auto">
        <a:xfrm flipV="1">
          <a:off x="130225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55" name="Line 52">
          <a:extLst>
            <a:ext uri="{FF2B5EF4-FFF2-40B4-BE49-F238E27FC236}">
              <a16:creationId xmlns:a16="http://schemas.microsoft.com/office/drawing/2014/main" id="{7B8E58BC-7FCF-254F-960D-45E382224D9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56" name="Line 53">
          <a:extLst>
            <a:ext uri="{FF2B5EF4-FFF2-40B4-BE49-F238E27FC236}">
              <a16:creationId xmlns:a16="http://schemas.microsoft.com/office/drawing/2014/main" id="{89EEEA61-1CC6-4DEC-CC18-FAAE8CED2C7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57" name="Line 54">
          <a:extLst>
            <a:ext uri="{FF2B5EF4-FFF2-40B4-BE49-F238E27FC236}">
              <a16:creationId xmlns:a16="http://schemas.microsoft.com/office/drawing/2014/main" id="{EB4C52BD-C83A-4F34-79F8-071C9C621F41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8458" name="Line 55">
          <a:extLst>
            <a:ext uri="{FF2B5EF4-FFF2-40B4-BE49-F238E27FC236}">
              <a16:creationId xmlns:a16="http://schemas.microsoft.com/office/drawing/2014/main" id="{09A19513-9416-A7D8-EEED-244FE92E32F2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65527F01-4313-A611-83DD-73AC46566BF5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8FE746E4-5319-DBC6-16AA-F6B27B47C5B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95F77F3B-0B68-1E66-D1E3-85C1F015409B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70634F4E-38AA-128B-677F-8EA97023FAD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678407C0-19B8-F8BE-5A38-DAD149778738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A2B7CFB8-750F-1376-8075-584BE9434840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8465" name="Line 62">
          <a:extLst>
            <a:ext uri="{FF2B5EF4-FFF2-40B4-BE49-F238E27FC236}">
              <a16:creationId xmlns:a16="http://schemas.microsoft.com/office/drawing/2014/main" id="{A0EDBA24-C618-578D-4F84-F3D7C887C64F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8466" name="Line 63">
          <a:extLst>
            <a:ext uri="{FF2B5EF4-FFF2-40B4-BE49-F238E27FC236}">
              <a16:creationId xmlns:a16="http://schemas.microsoft.com/office/drawing/2014/main" id="{9562D526-8C5E-3D18-9931-84A106070DBE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8467" name="Line 64">
          <a:extLst>
            <a:ext uri="{FF2B5EF4-FFF2-40B4-BE49-F238E27FC236}">
              <a16:creationId xmlns:a16="http://schemas.microsoft.com/office/drawing/2014/main" id="{806E95E2-BDA1-09C5-7949-1EF9E84F7CA9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8468" name="Line 65">
          <a:extLst>
            <a:ext uri="{FF2B5EF4-FFF2-40B4-BE49-F238E27FC236}">
              <a16:creationId xmlns:a16="http://schemas.microsoft.com/office/drawing/2014/main" id="{5F439848-322B-91A7-6405-D027401A4378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8469" name="Line 66">
          <a:extLst>
            <a:ext uri="{FF2B5EF4-FFF2-40B4-BE49-F238E27FC236}">
              <a16:creationId xmlns:a16="http://schemas.microsoft.com/office/drawing/2014/main" id="{D4EB7D6F-89D3-A059-BFD3-B47DE86F98B4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8470" name="Line 67">
          <a:extLst>
            <a:ext uri="{FF2B5EF4-FFF2-40B4-BE49-F238E27FC236}">
              <a16:creationId xmlns:a16="http://schemas.microsoft.com/office/drawing/2014/main" id="{F7DC91F5-3E13-0B51-0AED-EE927DCD027A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8434D704-9A2C-EC4C-DCF3-98EC25CD15F8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8472" name="Line 69">
          <a:extLst>
            <a:ext uri="{FF2B5EF4-FFF2-40B4-BE49-F238E27FC236}">
              <a16:creationId xmlns:a16="http://schemas.microsoft.com/office/drawing/2014/main" id="{41A9296A-840B-6E0F-8E20-2F4CD2195239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48974EAD-AFC2-B9B9-44B0-E794D2E80A15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8474" name="Line 71">
          <a:extLst>
            <a:ext uri="{FF2B5EF4-FFF2-40B4-BE49-F238E27FC236}">
              <a16:creationId xmlns:a16="http://schemas.microsoft.com/office/drawing/2014/main" id="{80D6C108-427A-6958-3904-6F11709DCB55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8475" name="Line 72">
          <a:extLst>
            <a:ext uri="{FF2B5EF4-FFF2-40B4-BE49-F238E27FC236}">
              <a16:creationId xmlns:a16="http://schemas.microsoft.com/office/drawing/2014/main" id="{99548640-E754-1319-4ECC-CAEF5CB3EF43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8476" name="Line 73">
          <a:extLst>
            <a:ext uri="{FF2B5EF4-FFF2-40B4-BE49-F238E27FC236}">
              <a16:creationId xmlns:a16="http://schemas.microsoft.com/office/drawing/2014/main" id="{7CD5D1D8-E642-01FE-1612-ABC049753D41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BFC2E462-87DF-2CBC-727F-C49755984914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5A466C18-1558-3CBC-F782-6D37F568A8F0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5886749B-21F3-B90B-C298-9ED8E9DFAF7C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24492E65-0C2F-4B7A-5842-7C572A40E4BD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8481" name="Line 78">
          <a:extLst>
            <a:ext uri="{FF2B5EF4-FFF2-40B4-BE49-F238E27FC236}">
              <a16:creationId xmlns:a16="http://schemas.microsoft.com/office/drawing/2014/main" id="{2B747ECF-D36C-7517-F1FE-497073065F3C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8482" name="Line 79">
          <a:extLst>
            <a:ext uri="{FF2B5EF4-FFF2-40B4-BE49-F238E27FC236}">
              <a16:creationId xmlns:a16="http://schemas.microsoft.com/office/drawing/2014/main" id="{40F0403A-542F-92C5-48D5-CF5260E71B9B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8483" name="Line 80">
          <a:extLst>
            <a:ext uri="{FF2B5EF4-FFF2-40B4-BE49-F238E27FC236}">
              <a16:creationId xmlns:a16="http://schemas.microsoft.com/office/drawing/2014/main" id="{BAE1D120-AF3A-110F-FEFB-0BA672094FCF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8484" name="Line 81">
          <a:extLst>
            <a:ext uri="{FF2B5EF4-FFF2-40B4-BE49-F238E27FC236}">
              <a16:creationId xmlns:a16="http://schemas.microsoft.com/office/drawing/2014/main" id="{F37DC1B7-F7A5-49A5-14CC-E76EDB4C91B9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8485" name="Line 82">
          <a:extLst>
            <a:ext uri="{FF2B5EF4-FFF2-40B4-BE49-F238E27FC236}">
              <a16:creationId xmlns:a16="http://schemas.microsoft.com/office/drawing/2014/main" id="{1178E3A8-4A4A-D5D4-FD61-457AC5EDC663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8486" name="Line 83">
          <a:extLst>
            <a:ext uri="{FF2B5EF4-FFF2-40B4-BE49-F238E27FC236}">
              <a16:creationId xmlns:a16="http://schemas.microsoft.com/office/drawing/2014/main" id="{490E0338-354C-F97E-8502-D4BB6F3FB7D6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DD722D0E-7909-E412-3AC4-C01CC0B77633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8488" name="Line 85">
          <a:extLst>
            <a:ext uri="{FF2B5EF4-FFF2-40B4-BE49-F238E27FC236}">
              <a16:creationId xmlns:a16="http://schemas.microsoft.com/office/drawing/2014/main" id="{FDA86F5C-68E9-70F0-2432-BFB93D93B7FA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8489" name="Line 86">
          <a:extLst>
            <a:ext uri="{FF2B5EF4-FFF2-40B4-BE49-F238E27FC236}">
              <a16:creationId xmlns:a16="http://schemas.microsoft.com/office/drawing/2014/main" id="{C6432440-E250-A7C4-F028-99666344D0B8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069AB2CB-22FE-953B-DEEA-C28C2847A179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8491" name="Line 88">
          <a:extLst>
            <a:ext uri="{FF2B5EF4-FFF2-40B4-BE49-F238E27FC236}">
              <a16:creationId xmlns:a16="http://schemas.microsoft.com/office/drawing/2014/main" id="{A4043B73-6334-12A3-5E3A-39FD4F350164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8492" name="Line 89">
          <a:extLst>
            <a:ext uri="{FF2B5EF4-FFF2-40B4-BE49-F238E27FC236}">
              <a16:creationId xmlns:a16="http://schemas.microsoft.com/office/drawing/2014/main" id="{616C89AD-3309-B566-92F9-86544B6F8597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8493" name="Line 90">
          <a:extLst>
            <a:ext uri="{FF2B5EF4-FFF2-40B4-BE49-F238E27FC236}">
              <a16:creationId xmlns:a16="http://schemas.microsoft.com/office/drawing/2014/main" id="{A615454E-05B1-D451-09A6-ACC0AC49B45D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8494" name="Line 91">
          <a:extLst>
            <a:ext uri="{FF2B5EF4-FFF2-40B4-BE49-F238E27FC236}">
              <a16:creationId xmlns:a16="http://schemas.microsoft.com/office/drawing/2014/main" id="{6CEC4008-8406-9C12-7143-56927F0B6A5B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8495" name="Line 92">
          <a:extLst>
            <a:ext uri="{FF2B5EF4-FFF2-40B4-BE49-F238E27FC236}">
              <a16:creationId xmlns:a16="http://schemas.microsoft.com/office/drawing/2014/main" id="{67FF6A8D-DD3D-45D2-95E6-B10C6E640BAF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8496" name="AutoShape 93" descr="Stationery">
          <a:extLst>
            <a:ext uri="{FF2B5EF4-FFF2-40B4-BE49-F238E27FC236}">
              <a16:creationId xmlns:a16="http://schemas.microsoft.com/office/drawing/2014/main" id="{486E5C4C-71F0-6F0D-0425-1A911B08456C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8497" name="Line 94">
          <a:extLst>
            <a:ext uri="{FF2B5EF4-FFF2-40B4-BE49-F238E27FC236}">
              <a16:creationId xmlns:a16="http://schemas.microsoft.com/office/drawing/2014/main" id="{9F57558A-A97E-ECA7-9870-C7766AB52020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8498" name="Line 95">
          <a:extLst>
            <a:ext uri="{FF2B5EF4-FFF2-40B4-BE49-F238E27FC236}">
              <a16:creationId xmlns:a16="http://schemas.microsoft.com/office/drawing/2014/main" id="{4B997185-C46F-1129-CD77-E197133B840B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202275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7C63E5A1-CED3-45CE-8F13-CAAF56C21E8A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A9A38C47-1A0D-A520-F644-0280CBEDC810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8501" name="Line 98">
          <a:extLst>
            <a:ext uri="{FF2B5EF4-FFF2-40B4-BE49-F238E27FC236}">
              <a16:creationId xmlns:a16="http://schemas.microsoft.com/office/drawing/2014/main" id="{A36F361E-BA1B-48C9-1044-998A70998BAF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8502" name="Line 99">
          <a:extLst>
            <a:ext uri="{FF2B5EF4-FFF2-40B4-BE49-F238E27FC236}">
              <a16:creationId xmlns:a16="http://schemas.microsoft.com/office/drawing/2014/main" id="{421A4AD4-0CF9-3FC8-C513-C3DE289A5532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8503" name="Line 100">
          <a:extLst>
            <a:ext uri="{FF2B5EF4-FFF2-40B4-BE49-F238E27FC236}">
              <a16:creationId xmlns:a16="http://schemas.microsoft.com/office/drawing/2014/main" id="{637313CE-9E01-4818-7007-CF4CB6BCB87D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8504" name="Line 101">
          <a:extLst>
            <a:ext uri="{FF2B5EF4-FFF2-40B4-BE49-F238E27FC236}">
              <a16:creationId xmlns:a16="http://schemas.microsoft.com/office/drawing/2014/main" id="{AEAF441C-2612-4A62-497F-03A51B408B74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05" name="Line 102">
          <a:extLst>
            <a:ext uri="{FF2B5EF4-FFF2-40B4-BE49-F238E27FC236}">
              <a16:creationId xmlns:a16="http://schemas.microsoft.com/office/drawing/2014/main" id="{533CF8B2-AACF-ABC4-56B3-31F15CA88AE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202275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198AF075-F4EA-1CA9-D4A8-D82BD7D5B57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8507" name="Line 104">
          <a:extLst>
            <a:ext uri="{FF2B5EF4-FFF2-40B4-BE49-F238E27FC236}">
              <a16:creationId xmlns:a16="http://schemas.microsoft.com/office/drawing/2014/main" id="{094CA4CA-39C2-0161-69F9-69FBA4F922E8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202275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8BF3ED38-0600-584B-20A7-5679DBE28F84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8509" name="Line 106">
          <a:extLst>
            <a:ext uri="{FF2B5EF4-FFF2-40B4-BE49-F238E27FC236}">
              <a16:creationId xmlns:a16="http://schemas.microsoft.com/office/drawing/2014/main" id="{3A2C4309-F268-DA0C-BB70-1DEB70AE8B0A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B3FE970C-2733-4023-6E5D-A1F82A6B98E0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563880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8511" name="Freeform 108">
          <a:extLst>
            <a:ext uri="{FF2B5EF4-FFF2-40B4-BE49-F238E27FC236}">
              <a16:creationId xmlns:a16="http://schemas.microsoft.com/office/drawing/2014/main" id="{9860B9F5-5354-799B-ED35-FEDBB486C6C6}"/>
            </a:ext>
          </a:extLst>
        </xdr:cNvPr>
        <xdr:cNvSpPr>
          <a:spLocks/>
        </xdr:cNvSpPr>
      </xdr:nvSpPr>
      <xdr:spPr bwMode="auto">
        <a:xfrm rot="-5400000">
          <a:off x="9136380" y="6545580"/>
          <a:ext cx="106680" cy="3200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8512" name="Line 109">
          <a:extLst>
            <a:ext uri="{FF2B5EF4-FFF2-40B4-BE49-F238E27FC236}">
              <a16:creationId xmlns:a16="http://schemas.microsoft.com/office/drawing/2014/main" id="{1BA4E658-EE89-E4B4-2DE6-4E2C48F60C09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8513" name="Line 110">
          <a:extLst>
            <a:ext uri="{FF2B5EF4-FFF2-40B4-BE49-F238E27FC236}">
              <a16:creationId xmlns:a16="http://schemas.microsoft.com/office/drawing/2014/main" id="{ED9C7849-0A38-4698-96B9-4BB2624A0279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8514" name="Line 111">
          <a:extLst>
            <a:ext uri="{FF2B5EF4-FFF2-40B4-BE49-F238E27FC236}">
              <a16:creationId xmlns:a16="http://schemas.microsoft.com/office/drawing/2014/main" id="{F488316F-47F2-00DB-7AEF-F71F9AFDEB5F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8515" name="Line 112">
          <a:extLst>
            <a:ext uri="{FF2B5EF4-FFF2-40B4-BE49-F238E27FC236}">
              <a16:creationId xmlns:a16="http://schemas.microsoft.com/office/drawing/2014/main" id="{D53B177C-A6C9-CFFC-3B4B-CC0C5AD3C4F3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8516" name="Line 113">
          <a:extLst>
            <a:ext uri="{FF2B5EF4-FFF2-40B4-BE49-F238E27FC236}">
              <a16:creationId xmlns:a16="http://schemas.microsoft.com/office/drawing/2014/main" id="{3EFD669C-D31D-95F9-C1BA-D27FBA5F005E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358140</xdr:colOff>
      <xdr:row>91</xdr:row>
      <xdr:rowOff>0</xdr:rowOff>
    </xdr:from>
    <xdr:to>
      <xdr:col>12</xdr:col>
      <xdr:colOff>358140</xdr:colOff>
      <xdr:row>91</xdr:row>
      <xdr:rowOff>0</xdr:rowOff>
    </xdr:to>
    <xdr:sp macro="" textlink="">
      <xdr:nvSpPr>
        <xdr:cNvPr id="28968517" name="Line 114">
          <a:extLst>
            <a:ext uri="{FF2B5EF4-FFF2-40B4-BE49-F238E27FC236}">
              <a16:creationId xmlns:a16="http://schemas.microsoft.com/office/drawing/2014/main" id="{E9D68385-E0A3-1240-EB1B-D7DAAF95B88C}"/>
            </a:ext>
          </a:extLst>
        </xdr:cNvPr>
        <xdr:cNvSpPr>
          <a:spLocks noChangeShapeType="1"/>
        </xdr:cNvSpPr>
      </xdr:nvSpPr>
      <xdr:spPr bwMode="auto">
        <a:xfrm>
          <a:off x="8823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8518" name="Line 115">
          <a:extLst>
            <a:ext uri="{FF2B5EF4-FFF2-40B4-BE49-F238E27FC236}">
              <a16:creationId xmlns:a16="http://schemas.microsoft.com/office/drawing/2014/main" id="{3D0A44D5-E4C3-AFC8-7D30-87E87F1C86D6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8519" name="Line 116">
          <a:extLst>
            <a:ext uri="{FF2B5EF4-FFF2-40B4-BE49-F238E27FC236}">
              <a16:creationId xmlns:a16="http://schemas.microsoft.com/office/drawing/2014/main" id="{9D6C56EA-DAD6-72E7-B7E3-EB277066FC8C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8520" name="Line 117">
          <a:extLst>
            <a:ext uri="{FF2B5EF4-FFF2-40B4-BE49-F238E27FC236}">
              <a16:creationId xmlns:a16="http://schemas.microsoft.com/office/drawing/2014/main" id="{C926CB23-442A-E0EE-5A71-F5EC446E99A1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8521" name="Line 118">
          <a:extLst>
            <a:ext uri="{FF2B5EF4-FFF2-40B4-BE49-F238E27FC236}">
              <a16:creationId xmlns:a16="http://schemas.microsoft.com/office/drawing/2014/main" id="{366B64FD-1C6C-FBE3-67D3-E73A5772CD59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2" name="Line 119">
          <a:extLst>
            <a:ext uri="{FF2B5EF4-FFF2-40B4-BE49-F238E27FC236}">
              <a16:creationId xmlns:a16="http://schemas.microsoft.com/office/drawing/2014/main" id="{103ED4C6-38EB-32B5-5F91-2C93643A6456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3" name="Line 120">
          <a:extLst>
            <a:ext uri="{FF2B5EF4-FFF2-40B4-BE49-F238E27FC236}">
              <a16:creationId xmlns:a16="http://schemas.microsoft.com/office/drawing/2014/main" id="{924AF6C0-2D3A-1F2E-0CA7-A94BCB539D1B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4" name="Line 121">
          <a:extLst>
            <a:ext uri="{FF2B5EF4-FFF2-40B4-BE49-F238E27FC236}">
              <a16:creationId xmlns:a16="http://schemas.microsoft.com/office/drawing/2014/main" id="{EE97CEA5-C8D8-1AB6-2CE4-68753CD676DE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8525" name="Line 122">
          <a:extLst>
            <a:ext uri="{FF2B5EF4-FFF2-40B4-BE49-F238E27FC236}">
              <a16:creationId xmlns:a16="http://schemas.microsoft.com/office/drawing/2014/main" id="{D2806287-D437-6552-5D7F-653A6EFC28F7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8526" name="Line 123">
          <a:extLst>
            <a:ext uri="{FF2B5EF4-FFF2-40B4-BE49-F238E27FC236}">
              <a16:creationId xmlns:a16="http://schemas.microsoft.com/office/drawing/2014/main" id="{19F24036-88E8-3D4E-E12B-22EC0A176740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8527" name="Line 124">
          <a:extLst>
            <a:ext uri="{FF2B5EF4-FFF2-40B4-BE49-F238E27FC236}">
              <a16:creationId xmlns:a16="http://schemas.microsoft.com/office/drawing/2014/main" id="{79CCBD6F-4705-DE80-E926-B40622CB6C42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8528" name="Line 125">
          <a:extLst>
            <a:ext uri="{FF2B5EF4-FFF2-40B4-BE49-F238E27FC236}">
              <a16:creationId xmlns:a16="http://schemas.microsoft.com/office/drawing/2014/main" id="{478284C3-E71D-0E2B-4C6F-8D7F71D42179}"/>
            </a:ext>
          </a:extLst>
        </xdr:cNvPr>
        <xdr:cNvSpPr>
          <a:spLocks noChangeShapeType="1"/>
        </xdr:cNvSpPr>
      </xdr:nvSpPr>
      <xdr:spPr bwMode="auto">
        <a:xfrm>
          <a:off x="92430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8529" name="Line 126">
          <a:extLst>
            <a:ext uri="{FF2B5EF4-FFF2-40B4-BE49-F238E27FC236}">
              <a16:creationId xmlns:a16="http://schemas.microsoft.com/office/drawing/2014/main" id="{21AEE22C-6E63-7D64-E8C1-01E36F1A07D7}"/>
            </a:ext>
          </a:extLst>
        </xdr:cNvPr>
        <xdr:cNvSpPr>
          <a:spLocks noChangeShapeType="1"/>
        </xdr:cNvSpPr>
      </xdr:nvSpPr>
      <xdr:spPr bwMode="auto">
        <a:xfrm>
          <a:off x="92430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8530" name="Group 127">
          <a:extLst>
            <a:ext uri="{FF2B5EF4-FFF2-40B4-BE49-F238E27FC236}">
              <a16:creationId xmlns:a16="http://schemas.microsoft.com/office/drawing/2014/main" id="{50CC19B4-3FF2-9987-5F2F-2AF2980B4565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8598" name="Oval 128">
            <a:extLst>
              <a:ext uri="{FF2B5EF4-FFF2-40B4-BE49-F238E27FC236}">
                <a16:creationId xmlns:a16="http://schemas.microsoft.com/office/drawing/2014/main" id="{E778E1BE-30EE-D185-271E-81F7DA743BA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9" name="Line 129">
            <a:extLst>
              <a:ext uri="{FF2B5EF4-FFF2-40B4-BE49-F238E27FC236}">
                <a16:creationId xmlns:a16="http://schemas.microsoft.com/office/drawing/2014/main" id="{ED1134BC-2ED8-06BB-BF53-3B6D9A81A24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8531" name="Group 130">
          <a:extLst>
            <a:ext uri="{FF2B5EF4-FFF2-40B4-BE49-F238E27FC236}">
              <a16:creationId xmlns:a16="http://schemas.microsoft.com/office/drawing/2014/main" id="{32EF43B0-0BBF-A7C7-85CC-842FF9FF0CF4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8596" name="Oval 131">
            <a:extLst>
              <a:ext uri="{FF2B5EF4-FFF2-40B4-BE49-F238E27FC236}">
                <a16:creationId xmlns:a16="http://schemas.microsoft.com/office/drawing/2014/main" id="{E68DFD6B-88BA-97ED-F009-52027C2A10E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7" name="Line 132">
            <a:extLst>
              <a:ext uri="{FF2B5EF4-FFF2-40B4-BE49-F238E27FC236}">
                <a16:creationId xmlns:a16="http://schemas.microsoft.com/office/drawing/2014/main" id="{3497AA2F-434A-0269-BF5D-2EF85BEE660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8532" name="Group 133">
          <a:extLst>
            <a:ext uri="{FF2B5EF4-FFF2-40B4-BE49-F238E27FC236}">
              <a16:creationId xmlns:a16="http://schemas.microsoft.com/office/drawing/2014/main" id="{743B911C-6FA9-BF6E-E6B2-230281E8AE2F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8594" name="Oval 134">
            <a:extLst>
              <a:ext uri="{FF2B5EF4-FFF2-40B4-BE49-F238E27FC236}">
                <a16:creationId xmlns:a16="http://schemas.microsoft.com/office/drawing/2014/main" id="{118A7A59-2455-C5A5-1124-2802C76E7E1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5" name="Line 135">
            <a:extLst>
              <a:ext uri="{FF2B5EF4-FFF2-40B4-BE49-F238E27FC236}">
                <a16:creationId xmlns:a16="http://schemas.microsoft.com/office/drawing/2014/main" id="{0CCD8927-9223-4488-F8E3-4EE495FB0D3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8533" name="Group 136">
          <a:extLst>
            <a:ext uri="{FF2B5EF4-FFF2-40B4-BE49-F238E27FC236}">
              <a16:creationId xmlns:a16="http://schemas.microsoft.com/office/drawing/2014/main" id="{F38277A6-1524-4B54-4336-F5F1A3C34BA4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8592" name="Oval 137">
            <a:extLst>
              <a:ext uri="{FF2B5EF4-FFF2-40B4-BE49-F238E27FC236}">
                <a16:creationId xmlns:a16="http://schemas.microsoft.com/office/drawing/2014/main" id="{642F45CE-F7AB-2A91-B30B-44EF9090181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3" name="Line 138">
            <a:extLst>
              <a:ext uri="{FF2B5EF4-FFF2-40B4-BE49-F238E27FC236}">
                <a16:creationId xmlns:a16="http://schemas.microsoft.com/office/drawing/2014/main" id="{C6E8A24A-A218-7C6E-4FF0-B6381B7FB59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396240</xdr:colOff>
      <xdr:row>118</xdr:row>
      <xdr:rowOff>0</xdr:rowOff>
    </xdr:from>
    <xdr:to>
      <xdr:col>12</xdr:col>
      <xdr:colOff>563880</xdr:colOff>
      <xdr:row>118</xdr:row>
      <xdr:rowOff>0</xdr:rowOff>
    </xdr:to>
    <xdr:grpSp>
      <xdr:nvGrpSpPr>
        <xdr:cNvPr id="28968534" name="Group 139">
          <a:extLst>
            <a:ext uri="{FF2B5EF4-FFF2-40B4-BE49-F238E27FC236}">
              <a16:creationId xmlns:a16="http://schemas.microsoft.com/office/drawing/2014/main" id="{5897DBBD-C426-6B91-1140-C3FC5C9FEA70}"/>
            </a:ext>
          </a:extLst>
        </xdr:cNvPr>
        <xdr:cNvGrpSpPr>
          <a:grpSpLocks noChangeAspect="1"/>
        </xdr:cNvGrpSpPr>
      </xdr:nvGrpSpPr>
      <xdr:grpSpPr bwMode="auto">
        <a:xfrm>
          <a:off x="8907194" y="19589262"/>
          <a:ext cx="167640" cy="0"/>
          <a:chOff x="2448" y="1920"/>
          <a:chExt cx="96" cy="96"/>
        </a:xfrm>
      </xdr:grpSpPr>
      <xdr:sp macro="" textlink="">
        <xdr:nvSpPr>
          <xdr:cNvPr id="28968590" name="Oval 140">
            <a:extLst>
              <a:ext uri="{FF2B5EF4-FFF2-40B4-BE49-F238E27FC236}">
                <a16:creationId xmlns:a16="http://schemas.microsoft.com/office/drawing/2014/main" id="{4B31CBCE-886A-C014-7C14-3B7C0441CED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1" name="Line 141">
            <a:extLst>
              <a:ext uri="{FF2B5EF4-FFF2-40B4-BE49-F238E27FC236}">
                <a16:creationId xmlns:a16="http://schemas.microsoft.com/office/drawing/2014/main" id="{8B1605A4-F417-1604-DEEA-093E162B4E6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396240</xdr:colOff>
      <xdr:row>118</xdr:row>
      <xdr:rowOff>0</xdr:rowOff>
    </xdr:from>
    <xdr:to>
      <xdr:col>12</xdr:col>
      <xdr:colOff>563880</xdr:colOff>
      <xdr:row>118</xdr:row>
      <xdr:rowOff>0</xdr:rowOff>
    </xdr:to>
    <xdr:grpSp>
      <xdr:nvGrpSpPr>
        <xdr:cNvPr id="28968535" name="Group 142">
          <a:extLst>
            <a:ext uri="{FF2B5EF4-FFF2-40B4-BE49-F238E27FC236}">
              <a16:creationId xmlns:a16="http://schemas.microsoft.com/office/drawing/2014/main" id="{C05D5C90-E455-DFA9-60DD-C4E5BEFC6592}"/>
            </a:ext>
          </a:extLst>
        </xdr:cNvPr>
        <xdr:cNvGrpSpPr>
          <a:grpSpLocks noChangeAspect="1"/>
        </xdr:cNvGrpSpPr>
      </xdr:nvGrpSpPr>
      <xdr:grpSpPr bwMode="auto">
        <a:xfrm>
          <a:off x="8907194" y="19589262"/>
          <a:ext cx="167640" cy="0"/>
          <a:chOff x="2448" y="1920"/>
          <a:chExt cx="96" cy="96"/>
        </a:xfrm>
      </xdr:grpSpPr>
      <xdr:sp macro="" textlink="">
        <xdr:nvSpPr>
          <xdr:cNvPr id="28968588" name="Oval 143">
            <a:extLst>
              <a:ext uri="{FF2B5EF4-FFF2-40B4-BE49-F238E27FC236}">
                <a16:creationId xmlns:a16="http://schemas.microsoft.com/office/drawing/2014/main" id="{E1732D24-63D3-2C57-E24C-2CC878A9301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89" name="Line 144">
            <a:extLst>
              <a:ext uri="{FF2B5EF4-FFF2-40B4-BE49-F238E27FC236}">
                <a16:creationId xmlns:a16="http://schemas.microsoft.com/office/drawing/2014/main" id="{9BD2755F-A126-E3D8-981E-FE711C1BAFC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8536" name="Group 145">
          <a:extLst>
            <a:ext uri="{FF2B5EF4-FFF2-40B4-BE49-F238E27FC236}">
              <a16:creationId xmlns:a16="http://schemas.microsoft.com/office/drawing/2014/main" id="{4B966478-4535-767F-8BA9-DF60F3B6F964}"/>
            </a:ext>
          </a:extLst>
        </xdr:cNvPr>
        <xdr:cNvGrpSpPr>
          <a:grpSpLocks noChangeAspect="1"/>
        </xdr:cNvGrpSpPr>
      </xdr:nvGrpSpPr>
      <xdr:grpSpPr bwMode="auto">
        <a:xfrm>
          <a:off x="9558997" y="6552028"/>
          <a:ext cx="159434" cy="164123"/>
          <a:chOff x="2448" y="1920"/>
          <a:chExt cx="96" cy="96"/>
        </a:xfrm>
      </xdr:grpSpPr>
      <xdr:sp macro="" textlink="">
        <xdr:nvSpPr>
          <xdr:cNvPr id="28968586" name="Oval 146">
            <a:extLst>
              <a:ext uri="{FF2B5EF4-FFF2-40B4-BE49-F238E27FC236}">
                <a16:creationId xmlns:a16="http://schemas.microsoft.com/office/drawing/2014/main" id="{039DDF36-DBCA-4680-B48B-11C269E0946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87" name="Line 147">
            <a:extLst>
              <a:ext uri="{FF2B5EF4-FFF2-40B4-BE49-F238E27FC236}">
                <a16:creationId xmlns:a16="http://schemas.microsoft.com/office/drawing/2014/main" id="{8D35ED5B-9949-B42E-7351-4CA8DDE0168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356B3048-6ABB-28C6-2DC8-FE7568A62096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8538" name="Line 149">
          <a:extLst>
            <a:ext uri="{FF2B5EF4-FFF2-40B4-BE49-F238E27FC236}">
              <a16:creationId xmlns:a16="http://schemas.microsoft.com/office/drawing/2014/main" id="{DE6948CE-CF56-A103-BC13-590CBC5C9FFD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8539" name="Line 150">
          <a:extLst>
            <a:ext uri="{FF2B5EF4-FFF2-40B4-BE49-F238E27FC236}">
              <a16:creationId xmlns:a16="http://schemas.microsoft.com/office/drawing/2014/main" id="{0B89AA9F-3F7C-5365-39EB-DD7A05858B94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71EE65CA-9B29-CE56-4401-422745B8CEEB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8541" name="Line 153">
          <a:extLst>
            <a:ext uri="{FF2B5EF4-FFF2-40B4-BE49-F238E27FC236}">
              <a16:creationId xmlns:a16="http://schemas.microsoft.com/office/drawing/2014/main" id="{E2A9A04B-1BF7-51E6-2267-46D4212C379D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8542" name="Line 154">
          <a:extLst>
            <a:ext uri="{FF2B5EF4-FFF2-40B4-BE49-F238E27FC236}">
              <a16:creationId xmlns:a16="http://schemas.microsoft.com/office/drawing/2014/main" id="{2A60EAFA-203A-466F-CA16-568AE1367E1A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8543" name="Freeform 155">
          <a:extLst>
            <a:ext uri="{FF2B5EF4-FFF2-40B4-BE49-F238E27FC236}">
              <a16:creationId xmlns:a16="http://schemas.microsoft.com/office/drawing/2014/main" id="{B3FD32A8-DBB1-0BA8-EEA3-D0199EBEFDA7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8544" name="Line 156">
          <a:extLst>
            <a:ext uri="{FF2B5EF4-FFF2-40B4-BE49-F238E27FC236}">
              <a16:creationId xmlns:a16="http://schemas.microsoft.com/office/drawing/2014/main" id="{3AA150F2-4F01-3CE4-C78F-4DA2F43BE6B9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8545" name="Line 157">
          <a:extLst>
            <a:ext uri="{FF2B5EF4-FFF2-40B4-BE49-F238E27FC236}">
              <a16:creationId xmlns:a16="http://schemas.microsoft.com/office/drawing/2014/main" id="{A9102FAD-6D55-2376-A76E-507B405081DD}"/>
            </a:ext>
          </a:extLst>
        </xdr:cNvPr>
        <xdr:cNvSpPr>
          <a:spLocks noChangeShapeType="1"/>
        </xdr:cNvSpPr>
      </xdr:nvSpPr>
      <xdr:spPr bwMode="auto">
        <a:xfrm flipV="1">
          <a:off x="93497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563880</xdr:colOff>
      <xdr:row>39</xdr:row>
      <xdr:rowOff>144780</xdr:rowOff>
    </xdr:to>
    <xdr:sp macro="" textlink="">
      <xdr:nvSpPr>
        <xdr:cNvPr id="28968546" name="Line 158">
          <a:extLst>
            <a:ext uri="{FF2B5EF4-FFF2-40B4-BE49-F238E27FC236}">
              <a16:creationId xmlns:a16="http://schemas.microsoft.com/office/drawing/2014/main" id="{93EF9047-D679-804C-8E19-06503744BCA7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638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8547" name="Line 160">
          <a:extLst>
            <a:ext uri="{FF2B5EF4-FFF2-40B4-BE49-F238E27FC236}">
              <a16:creationId xmlns:a16="http://schemas.microsoft.com/office/drawing/2014/main" id="{E176D6F6-1B1B-384A-E77C-FB056CF5A655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8548" name="Line 161">
          <a:extLst>
            <a:ext uri="{FF2B5EF4-FFF2-40B4-BE49-F238E27FC236}">
              <a16:creationId xmlns:a16="http://schemas.microsoft.com/office/drawing/2014/main" id="{C4D592A7-E603-5ABF-F5FF-A87E49851FE6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8549" name="Line 162">
          <a:extLst>
            <a:ext uri="{FF2B5EF4-FFF2-40B4-BE49-F238E27FC236}">
              <a16:creationId xmlns:a16="http://schemas.microsoft.com/office/drawing/2014/main" id="{C28C97E7-8605-8CCE-071F-49B8326B82F0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8550" name="Line 163">
          <a:extLst>
            <a:ext uri="{FF2B5EF4-FFF2-40B4-BE49-F238E27FC236}">
              <a16:creationId xmlns:a16="http://schemas.microsoft.com/office/drawing/2014/main" id="{38EA5292-315D-AE96-812C-BAF15A9C84C3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8551" name="Line 164">
          <a:extLst>
            <a:ext uri="{FF2B5EF4-FFF2-40B4-BE49-F238E27FC236}">
              <a16:creationId xmlns:a16="http://schemas.microsoft.com/office/drawing/2014/main" id="{7E5E2959-BC85-74E5-CA56-BC8862D573F8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8552" name="Line 165">
          <a:extLst>
            <a:ext uri="{FF2B5EF4-FFF2-40B4-BE49-F238E27FC236}">
              <a16:creationId xmlns:a16="http://schemas.microsoft.com/office/drawing/2014/main" id="{CF0A0F57-EAE7-EA30-7BBD-19084F65EC4B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874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311162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32EEEE03-27BC-82BE-EC58-10E29A07CAD0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D58697B8-FA8C-F889-874E-0D7CBAC265E6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8555" name="Line 2509">
          <a:extLst>
            <a:ext uri="{FF2B5EF4-FFF2-40B4-BE49-F238E27FC236}">
              <a16:creationId xmlns:a16="http://schemas.microsoft.com/office/drawing/2014/main" id="{9CEE7053-2B02-68D6-B262-8E11214065BE}"/>
            </a:ext>
          </a:extLst>
        </xdr:cNvPr>
        <xdr:cNvSpPr>
          <a:spLocks noChangeShapeType="1"/>
        </xdr:cNvSpPr>
      </xdr:nvSpPr>
      <xdr:spPr bwMode="auto">
        <a:xfrm>
          <a:off x="138607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172133</xdr:colOff>
      <xdr:row>35</xdr:row>
      <xdr:rowOff>12773</xdr:rowOff>
    </xdr:from>
    <xdr:to>
      <xdr:col>21</xdr:col>
      <xdr:colOff>754885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1C3327CF-1EB7-723F-0B63-B78981714626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116209</xdr:colOff>
      <xdr:row>33</xdr:row>
      <xdr:rowOff>42546</xdr:rowOff>
    </xdr:from>
    <xdr:to>
      <xdr:col>22</xdr:col>
      <xdr:colOff>490720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F1C35D28-330D-897D-C953-9212281D3A50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8558" name="Group 183">
          <a:extLst>
            <a:ext uri="{FF2B5EF4-FFF2-40B4-BE49-F238E27FC236}">
              <a16:creationId xmlns:a16="http://schemas.microsoft.com/office/drawing/2014/main" id="{06246FAF-65D9-24B7-F79C-ECFFCD288588}"/>
            </a:ext>
          </a:extLst>
        </xdr:cNvPr>
        <xdr:cNvGrpSpPr>
          <a:grpSpLocks/>
        </xdr:cNvGrpSpPr>
      </xdr:nvGrpSpPr>
      <xdr:grpSpPr bwMode="auto">
        <a:xfrm>
          <a:off x="10068951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0EE27421-00D4-B01F-F989-F61D2E161F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8578" name="Line 2507">
            <a:extLst>
              <a:ext uri="{FF2B5EF4-FFF2-40B4-BE49-F238E27FC236}">
                <a16:creationId xmlns:a16="http://schemas.microsoft.com/office/drawing/2014/main" id="{15263DDF-70C0-8F8D-504E-CCBE5699A6D1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FE2BAAB3-56C7-A5C1-EE5B-E46E0E295B70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E854BFA5-A84D-FA9F-FE52-AC73133088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5100E1F0-F4BA-6051-3F80-CABC85A5B8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A8109F7B-1444-5016-37DB-5327D5D7C7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85E623F0-5662-9264-BA4B-2CC772C70B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8584" name="Line 2515">
            <a:extLst>
              <a:ext uri="{FF2B5EF4-FFF2-40B4-BE49-F238E27FC236}">
                <a16:creationId xmlns:a16="http://schemas.microsoft.com/office/drawing/2014/main" id="{8F8E9061-A0C7-8744-9F3F-FCDDB7CF52A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D5442051-B122-6CC8-744E-5A4B989FBDA4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584200</xdr:colOff>
      <xdr:row>75</xdr:row>
      <xdr:rowOff>28575</xdr:rowOff>
    </xdr:from>
    <xdr:to>
      <xdr:col>18</xdr:col>
      <xdr:colOff>491182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C7F88AC1-27EB-4429-E36E-D5C44E622E0B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245110</xdr:colOff>
      <xdr:row>71</xdr:row>
      <xdr:rowOff>12700</xdr:rowOff>
    </xdr:from>
    <xdr:to>
      <xdr:col>25</xdr:col>
      <xdr:colOff>117500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6B3C1D89-3AEC-6BE1-DD32-EDDF5E9A50A0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233789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3143B6DF-5038-4877-5C3F-EDC5B4664794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529127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F0400670-D7B0-20F8-E5C4-BEA8CA3C341D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219194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E7C5F4D9-BC8C-3B23-CF90-EE5F9F548CB5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490855</xdr:colOff>
      <xdr:row>75</xdr:row>
      <xdr:rowOff>80010</xdr:rowOff>
    </xdr:from>
    <xdr:to>
      <xdr:col>27</xdr:col>
      <xdr:colOff>272156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3725A487-29E0-81B2-FEAE-7F03965D4278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8565" name="Line 2515">
          <a:extLst>
            <a:ext uri="{FF2B5EF4-FFF2-40B4-BE49-F238E27FC236}">
              <a16:creationId xmlns:a16="http://schemas.microsoft.com/office/drawing/2014/main" id="{1851984C-1512-824C-8E19-CE1C0156902F}"/>
            </a:ext>
          </a:extLst>
        </xdr:cNvPr>
        <xdr:cNvSpPr>
          <a:spLocks noChangeShapeType="1"/>
        </xdr:cNvSpPr>
      </xdr:nvSpPr>
      <xdr:spPr bwMode="auto">
        <a:xfrm>
          <a:off x="170154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262255</xdr:colOff>
      <xdr:row>52</xdr:row>
      <xdr:rowOff>147004</xdr:rowOff>
    </xdr:from>
    <xdr:to>
      <xdr:col>29</xdr:col>
      <xdr:colOff>473664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490F45F3-A430-2957-BDDD-0D1FF0D8741A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532765</xdr:colOff>
      <xdr:row>75</xdr:row>
      <xdr:rowOff>155893</xdr:rowOff>
    </xdr:from>
    <xdr:to>
      <xdr:col>22</xdr:col>
      <xdr:colOff>245362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4A15D960-F438-43FA-AF4B-614F01ED3311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596949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E1BA8F5F-DD18-AE53-3F3F-44BF95B5F626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5EE1C286-617B-C2CD-CC76-BCC8B37F60A0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6924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EEF1332D-A0F9-C7E0-BA92-1D2A0484F136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434941</xdr:colOff>
      <xdr:row>33</xdr:row>
      <xdr:rowOff>99555</xdr:rowOff>
    </xdr:from>
    <xdr:to>
      <xdr:col>24</xdr:col>
      <xdr:colOff>312377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7DB63998-B407-CFDA-EDD2-1B268AE14DA1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272366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A7729EFE-EC6D-C6FA-573F-045A6335DD5C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146050</xdr:colOff>
      <xdr:row>75</xdr:row>
      <xdr:rowOff>155893</xdr:rowOff>
    </xdr:from>
    <xdr:to>
      <xdr:col>25</xdr:col>
      <xdr:colOff>491466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B907E8F0-ECBA-BB17-A886-FA881F7315E7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35561</xdr:colOff>
      <xdr:row>75</xdr:row>
      <xdr:rowOff>12700</xdr:rowOff>
    </xdr:from>
    <xdr:to>
      <xdr:col>26</xdr:col>
      <xdr:colOff>409882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BCC49583-85D0-8E47-66C3-930106806B5E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540385</xdr:colOff>
      <xdr:row>52</xdr:row>
      <xdr:rowOff>0</xdr:rowOff>
    </xdr:from>
    <xdr:to>
      <xdr:col>29</xdr:col>
      <xdr:colOff>428081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9131F7BA-8045-99B1-E4B1-87F1067AF880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489268</xdr:colOff>
      <xdr:row>48</xdr:row>
      <xdr:rowOff>12700</xdr:rowOff>
    </xdr:from>
    <xdr:to>
      <xdr:col>30</xdr:col>
      <xdr:colOff>654930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9B50336B-740D-0BE8-C8B4-30A786484361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9428" name="Rectangle 1">
          <a:extLst>
            <a:ext uri="{FF2B5EF4-FFF2-40B4-BE49-F238E27FC236}">
              <a16:creationId xmlns:a16="http://schemas.microsoft.com/office/drawing/2014/main" id="{B8591D61-13B3-2D22-F279-A6997F642F51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9429" name="Line 2">
          <a:extLst>
            <a:ext uri="{FF2B5EF4-FFF2-40B4-BE49-F238E27FC236}">
              <a16:creationId xmlns:a16="http://schemas.microsoft.com/office/drawing/2014/main" id="{639B6946-3439-B740-12C2-6147A613DB7D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9430" name="Line 3">
          <a:extLst>
            <a:ext uri="{FF2B5EF4-FFF2-40B4-BE49-F238E27FC236}">
              <a16:creationId xmlns:a16="http://schemas.microsoft.com/office/drawing/2014/main" id="{5FEF4D24-EC75-38BE-F84D-AAD88FE582FB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1" name="Line 4">
          <a:extLst>
            <a:ext uri="{FF2B5EF4-FFF2-40B4-BE49-F238E27FC236}">
              <a16:creationId xmlns:a16="http://schemas.microsoft.com/office/drawing/2014/main" id="{B151689B-217A-F092-9C7F-2C19548CFE2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2" name="Line 5">
          <a:extLst>
            <a:ext uri="{FF2B5EF4-FFF2-40B4-BE49-F238E27FC236}">
              <a16:creationId xmlns:a16="http://schemas.microsoft.com/office/drawing/2014/main" id="{33B2E4A0-3E92-3A87-67E9-D8879576035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3" name="Line 6">
          <a:extLst>
            <a:ext uri="{FF2B5EF4-FFF2-40B4-BE49-F238E27FC236}">
              <a16:creationId xmlns:a16="http://schemas.microsoft.com/office/drawing/2014/main" id="{6C5EE59B-6CF9-9864-DF87-A552B3F228E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4" name="Line 7">
          <a:extLst>
            <a:ext uri="{FF2B5EF4-FFF2-40B4-BE49-F238E27FC236}">
              <a16:creationId xmlns:a16="http://schemas.microsoft.com/office/drawing/2014/main" id="{3EA34AE3-5C59-5F75-5A1C-A95BE313A13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5" name="Line 8">
          <a:extLst>
            <a:ext uri="{FF2B5EF4-FFF2-40B4-BE49-F238E27FC236}">
              <a16:creationId xmlns:a16="http://schemas.microsoft.com/office/drawing/2014/main" id="{A75574AA-80A8-0D7E-1CB9-11AD0C24A16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6" name="Line 9">
          <a:extLst>
            <a:ext uri="{FF2B5EF4-FFF2-40B4-BE49-F238E27FC236}">
              <a16:creationId xmlns:a16="http://schemas.microsoft.com/office/drawing/2014/main" id="{B58B6E9A-8C0A-3D6B-9B83-98212791E5E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7" name="Line 10">
          <a:extLst>
            <a:ext uri="{FF2B5EF4-FFF2-40B4-BE49-F238E27FC236}">
              <a16:creationId xmlns:a16="http://schemas.microsoft.com/office/drawing/2014/main" id="{927033FA-6D89-8308-E74D-E9A3B0B0A58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8" name="Line 11">
          <a:extLst>
            <a:ext uri="{FF2B5EF4-FFF2-40B4-BE49-F238E27FC236}">
              <a16:creationId xmlns:a16="http://schemas.microsoft.com/office/drawing/2014/main" id="{C7065A39-0E4D-0FCF-BBF7-743C8EB9A35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9" name="Line 12">
          <a:extLst>
            <a:ext uri="{FF2B5EF4-FFF2-40B4-BE49-F238E27FC236}">
              <a16:creationId xmlns:a16="http://schemas.microsoft.com/office/drawing/2014/main" id="{677EC488-57A1-36D5-6177-C15201B22B9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40" name="Line 13">
          <a:extLst>
            <a:ext uri="{FF2B5EF4-FFF2-40B4-BE49-F238E27FC236}">
              <a16:creationId xmlns:a16="http://schemas.microsoft.com/office/drawing/2014/main" id="{1BC54033-764C-CB3F-4291-2230853DEC4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9441" name="Line 14">
          <a:extLst>
            <a:ext uri="{FF2B5EF4-FFF2-40B4-BE49-F238E27FC236}">
              <a16:creationId xmlns:a16="http://schemas.microsoft.com/office/drawing/2014/main" id="{CA7CC1B7-DE61-7314-6FCA-942904C52C62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9442" name="Line 15">
          <a:extLst>
            <a:ext uri="{FF2B5EF4-FFF2-40B4-BE49-F238E27FC236}">
              <a16:creationId xmlns:a16="http://schemas.microsoft.com/office/drawing/2014/main" id="{70DCA68F-D5C9-A58C-C7B7-A6DB4A786D67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43" name="Line 16">
          <a:extLst>
            <a:ext uri="{FF2B5EF4-FFF2-40B4-BE49-F238E27FC236}">
              <a16:creationId xmlns:a16="http://schemas.microsoft.com/office/drawing/2014/main" id="{73CA5F41-F8E5-7D3B-A6D6-20A579F9567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9444" name="Line 17">
          <a:extLst>
            <a:ext uri="{FF2B5EF4-FFF2-40B4-BE49-F238E27FC236}">
              <a16:creationId xmlns:a16="http://schemas.microsoft.com/office/drawing/2014/main" id="{B47A7445-DB94-68F7-915B-09EEF7C09302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9445" name="Line 18">
          <a:extLst>
            <a:ext uri="{FF2B5EF4-FFF2-40B4-BE49-F238E27FC236}">
              <a16:creationId xmlns:a16="http://schemas.microsoft.com/office/drawing/2014/main" id="{777C17FE-AE8F-1BB3-E724-6076C9B97C99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46" name="Line 19">
          <a:extLst>
            <a:ext uri="{FF2B5EF4-FFF2-40B4-BE49-F238E27FC236}">
              <a16:creationId xmlns:a16="http://schemas.microsoft.com/office/drawing/2014/main" id="{AD246CA0-797E-A767-18D8-5E9AACB81DD3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47" name="Line 20">
          <a:extLst>
            <a:ext uri="{FF2B5EF4-FFF2-40B4-BE49-F238E27FC236}">
              <a16:creationId xmlns:a16="http://schemas.microsoft.com/office/drawing/2014/main" id="{2C9BE464-EC56-AB0B-DF2A-CFAACFB1C87F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48" name="Line 21">
          <a:extLst>
            <a:ext uri="{FF2B5EF4-FFF2-40B4-BE49-F238E27FC236}">
              <a16:creationId xmlns:a16="http://schemas.microsoft.com/office/drawing/2014/main" id="{44B1B051-1693-ACDE-1E55-E0DA64ACC76C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49" name="Line 22">
          <a:extLst>
            <a:ext uri="{FF2B5EF4-FFF2-40B4-BE49-F238E27FC236}">
              <a16:creationId xmlns:a16="http://schemas.microsoft.com/office/drawing/2014/main" id="{FF8B77BE-1C20-4063-4293-0DF7206DAA12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50" name="Line 23">
          <a:extLst>
            <a:ext uri="{FF2B5EF4-FFF2-40B4-BE49-F238E27FC236}">
              <a16:creationId xmlns:a16="http://schemas.microsoft.com/office/drawing/2014/main" id="{0BF698CB-B0B9-E7F9-D9CF-C3BF1C543238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51" name="Line 24">
          <a:extLst>
            <a:ext uri="{FF2B5EF4-FFF2-40B4-BE49-F238E27FC236}">
              <a16:creationId xmlns:a16="http://schemas.microsoft.com/office/drawing/2014/main" id="{79C4C01F-1D47-6099-3D15-F9A7BFCA1300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52" name="Line 25">
          <a:extLst>
            <a:ext uri="{FF2B5EF4-FFF2-40B4-BE49-F238E27FC236}">
              <a16:creationId xmlns:a16="http://schemas.microsoft.com/office/drawing/2014/main" id="{C83108F7-C9E2-6588-A75F-C1ED484050B7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9E123075-351A-E93C-22B6-2E662CC82670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9454" name="Line 27">
          <a:extLst>
            <a:ext uri="{FF2B5EF4-FFF2-40B4-BE49-F238E27FC236}">
              <a16:creationId xmlns:a16="http://schemas.microsoft.com/office/drawing/2014/main" id="{40D72987-4929-D0CA-315F-C861D6152A4B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9455" name="Line 28">
          <a:extLst>
            <a:ext uri="{FF2B5EF4-FFF2-40B4-BE49-F238E27FC236}">
              <a16:creationId xmlns:a16="http://schemas.microsoft.com/office/drawing/2014/main" id="{0192B8CF-504E-1DE3-C2D6-319B555C581F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79D51364-BBE1-F541-8A13-4C8F16484607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7" name="Line 30">
          <a:extLst>
            <a:ext uri="{FF2B5EF4-FFF2-40B4-BE49-F238E27FC236}">
              <a16:creationId xmlns:a16="http://schemas.microsoft.com/office/drawing/2014/main" id="{49130486-512B-4C84-83AB-C0083A8EB9B7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8" name="Line 31">
          <a:extLst>
            <a:ext uri="{FF2B5EF4-FFF2-40B4-BE49-F238E27FC236}">
              <a16:creationId xmlns:a16="http://schemas.microsoft.com/office/drawing/2014/main" id="{E3B59BFE-665D-9166-A132-4F3F5D546F8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9" name="Line 32">
          <a:extLst>
            <a:ext uri="{FF2B5EF4-FFF2-40B4-BE49-F238E27FC236}">
              <a16:creationId xmlns:a16="http://schemas.microsoft.com/office/drawing/2014/main" id="{4D8F62EE-04FD-96DA-D4CD-C4A7E2F1A18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60" name="Line 33">
          <a:extLst>
            <a:ext uri="{FF2B5EF4-FFF2-40B4-BE49-F238E27FC236}">
              <a16:creationId xmlns:a16="http://schemas.microsoft.com/office/drawing/2014/main" id="{9AE61D83-92D9-6BD0-2A35-4DB405EEEA1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9461" name="Rectangle 34">
          <a:extLst>
            <a:ext uri="{FF2B5EF4-FFF2-40B4-BE49-F238E27FC236}">
              <a16:creationId xmlns:a16="http://schemas.microsoft.com/office/drawing/2014/main" id="{39A0D489-D07F-6DF1-641D-B19B242706FD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9462" name="Line 35">
          <a:extLst>
            <a:ext uri="{FF2B5EF4-FFF2-40B4-BE49-F238E27FC236}">
              <a16:creationId xmlns:a16="http://schemas.microsoft.com/office/drawing/2014/main" id="{622D4076-5EE3-5E8B-4AF2-C8FC1A1852C1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9463" name="Line 36">
          <a:extLst>
            <a:ext uri="{FF2B5EF4-FFF2-40B4-BE49-F238E27FC236}">
              <a16:creationId xmlns:a16="http://schemas.microsoft.com/office/drawing/2014/main" id="{AD138766-0194-58F5-425A-5A36140FE97B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4" name="Line 37">
          <a:extLst>
            <a:ext uri="{FF2B5EF4-FFF2-40B4-BE49-F238E27FC236}">
              <a16:creationId xmlns:a16="http://schemas.microsoft.com/office/drawing/2014/main" id="{2C03A842-D591-947A-F3CC-C8A55862CD8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5" name="Line 38">
          <a:extLst>
            <a:ext uri="{FF2B5EF4-FFF2-40B4-BE49-F238E27FC236}">
              <a16:creationId xmlns:a16="http://schemas.microsoft.com/office/drawing/2014/main" id="{9E83020F-10D3-7C4E-294D-5DA9E628E9B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6" name="Line 39">
          <a:extLst>
            <a:ext uri="{FF2B5EF4-FFF2-40B4-BE49-F238E27FC236}">
              <a16:creationId xmlns:a16="http://schemas.microsoft.com/office/drawing/2014/main" id="{575BB470-B045-B26D-D196-B1A7376B3481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7" name="Line 40">
          <a:extLst>
            <a:ext uri="{FF2B5EF4-FFF2-40B4-BE49-F238E27FC236}">
              <a16:creationId xmlns:a16="http://schemas.microsoft.com/office/drawing/2014/main" id="{6285EA17-E486-4C81-5FDB-E2137FED9F0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8" name="Line 41">
          <a:extLst>
            <a:ext uri="{FF2B5EF4-FFF2-40B4-BE49-F238E27FC236}">
              <a16:creationId xmlns:a16="http://schemas.microsoft.com/office/drawing/2014/main" id="{9869D836-047E-C969-F732-81A3630B00B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69" name="Line 42">
          <a:extLst>
            <a:ext uri="{FF2B5EF4-FFF2-40B4-BE49-F238E27FC236}">
              <a16:creationId xmlns:a16="http://schemas.microsoft.com/office/drawing/2014/main" id="{C00438B9-8057-299B-2DA9-7B0FAD57F24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0" name="Line 43">
          <a:extLst>
            <a:ext uri="{FF2B5EF4-FFF2-40B4-BE49-F238E27FC236}">
              <a16:creationId xmlns:a16="http://schemas.microsoft.com/office/drawing/2014/main" id="{37B24A60-2431-B6A2-4B1B-03854E57EDD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1" name="Line 44">
          <a:extLst>
            <a:ext uri="{FF2B5EF4-FFF2-40B4-BE49-F238E27FC236}">
              <a16:creationId xmlns:a16="http://schemas.microsoft.com/office/drawing/2014/main" id="{1F22632E-CFFE-E362-A87C-5213E601A6D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2" name="Line 45">
          <a:extLst>
            <a:ext uri="{FF2B5EF4-FFF2-40B4-BE49-F238E27FC236}">
              <a16:creationId xmlns:a16="http://schemas.microsoft.com/office/drawing/2014/main" id="{F4295030-FBB2-DC4F-689A-440ADD72F29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3" name="Line 46">
          <a:extLst>
            <a:ext uri="{FF2B5EF4-FFF2-40B4-BE49-F238E27FC236}">
              <a16:creationId xmlns:a16="http://schemas.microsoft.com/office/drawing/2014/main" id="{45BE50E1-3112-5AA0-6AC3-6186BB7FB05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9474" name="Line 47">
          <a:extLst>
            <a:ext uri="{FF2B5EF4-FFF2-40B4-BE49-F238E27FC236}">
              <a16:creationId xmlns:a16="http://schemas.microsoft.com/office/drawing/2014/main" id="{8CD09CB1-CB36-F53C-61E6-2985BC0A503B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9475" name="Line 48">
          <a:extLst>
            <a:ext uri="{FF2B5EF4-FFF2-40B4-BE49-F238E27FC236}">
              <a16:creationId xmlns:a16="http://schemas.microsoft.com/office/drawing/2014/main" id="{351C0335-2455-AA1C-EEE1-C639E80A726A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76" name="Line 49">
          <a:extLst>
            <a:ext uri="{FF2B5EF4-FFF2-40B4-BE49-F238E27FC236}">
              <a16:creationId xmlns:a16="http://schemas.microsoft.com/office/drawing/2014/main" id="{99940AEF-EFDF-7F11-3ECD-7E6BB4B2C64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9477" name="Line 50">
          <a:extLst>
            <a:ext uri="{FF2B5EF4-FFF2-40B4-BE49-F238E27FC236}">
              <a16:creationId xmlns:a16="http://schemas.microsoft.com/office/drawing/2014/main" id="{9850BFC5-4431-1192-9748-5B0373F422D9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9478" name="Line 51">
          <a:extLst>
            <a:ext uri="{FF2B5EF4-FFF2-40B4-BE49-F238E27FC236}">
              <a16:creationId xmlns:a16="http://schemas.microsoft.com/office/drawing/2014/main" id="{C98B4B6E-6E25-C9A9-A140-A926DE42B638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79" name="Line 52">
          <a:extLst>
            <a:ext uri="{FF2B5EF4-FFF2-40B4-BE49-F238E27FC236}">
              <a16:creationId xmlns:a16="http://schemas.microsoft.com/office/drawing/2014/main" id="{E7152739-D856-D0EC-EFD6-0B1B7D49700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80" name="Line 53">
          <a:extLst>
            <a:ext uri="{FF2B5EF4-FFF2-40B4-BE49-F238E27FC236}">
              <a16:creationId xmlns:a16="http://schemas.microsoft.com/office/drawing/2014/main" id="{F23BFA19-03CF-8EB7-721F-3D60E374E24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81" name="Line 54">
          <a:extLst>
            <a:ext uri="{FF2B5EF4-FFF2-40B4-BE49-F238E27FC236}">
              <a16:creationId xmlns:a16="http://schemas.microsoft.com/office/drawing/2014/main" id="{7B1020C4-E62D-C638-EC12-B44FD40DFA0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9482" name="Line 55">
          <a:extLst>
            <a:ext uri="{FF2B5EF4-FFF2-40B4-BE49-F238E27FC236}">
              <a16:creationId xmlns:a16="http://schemas.microsoft.com/office/drawing/2014/main" id="{FC3A994F-F60B-5F37-6CAF-0D89577E7E75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26E88F14-E1AE-2F28-F3B4-A2E33C945B94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5FEA9C8E-91D8-20BE-AC11-6B0C0D830FE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99131883-1252-EC06-3E9A-7ACE94755D4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408F8FD4-FFE8-178B-1F83-D7697015D37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620BE8B5-0835-6D64-0345-091929F9A253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C23CB6C9-5988-B8E6-6020-5925C3104A75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9489" name="Line 62">
          <a:extLst>
            <a:ext uri="{FF2B5EF4-FFF2-40B4-BE49-F238E27FC236}">
              <a16:creationId xmlns:a16="http://schemas.microsoft.com/office/drawing/2014/main" id="{633F8482-0028-0A10-BA99-DB8F7570397E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9490" name="Line 63">
          <a:extLst>
            <a:ext uri="{FF2B5EF4-FFF2-40B4-BE49-F238E27FC236}">
              <a16:creationId xmlns:a16="http://schemas.microsoft.com/office/drawing/2014/main" id="{C4604D32-1551-6109-B5F9-DA452CD52903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9491" name="Line 64">
          <a:extLst>
            <a:ext uri="{FF2B5EF4-FFF2-40B4-BE49-F238E27FC236}">
              <a16:creationId xmlns:a16="http://schemas.microsoft.com/office/drawing/2014/main" id="{65D54A77-90EE-4393-E66B-F316EA36158F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9492" name="Line 65">
          <a:extLst>
            <a:ext uri="{FF2B5EF4-FFF2-40B4-BE49-F238E27FC236}">
              <a16:creationId xmlns:a16="http://schemas.microsoft.com/office/drawing/2014/main" id="{B9E5196A-51B5-D63F-8349-40C89BC82821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9493" name="Line 66">
          <a:extLst>
            <a:ext uri="{FF2B5EF4-FFF2-40B4-BE49-F238E27FC236}">
              <a16:creationId xmlns:a16="http://schemas.microsoft.com/office/drawing/2014/main" id="{616756A0-F437-726D-E6B9-762B19A5F2AA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9494" name="Line 67">
          <a:extLst>
            <a:ext uri="{FF2B5EF4-FFF2-40B4-BE49-F238E27FC236}">
              <a16:creationId xmlns:a16="http://schemas.microsoft.com/office/drawing/2014/main" id="{7B96CB69-ADFD-12F9-CEF2-B83B4D12AC3C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2CC79108-C215-897F-FFC0-6A8143CBDFA0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9496" name="Line 69">
          <a:extLst>
            <a:ext uri="{FF2B5EF4-FFF2-40B4-BE49-F238E27FC236}">
              <a16:creationId xmlns:a16="http://schemas.microsoft.com/office/drawing/2014/main" id="{EDFE3817-4DA2-559F-9E03-8F21A0950104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E5A71533-CF57-1E0A-A6CC-114658A88591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9498" name="Line 71">
          <a:extLst>
            <a:ext uri="{FF2B5EF4-FFF2-40B4-BE49-F238E27FC236}">
              <a16:creationId xmlns:a16="http://schemas.microsoft.com/office/drawing/2014/main" id="{F9772692-46DE-3DF6-0AE0-F26031382925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9499" name="Line 72">
          <a:extLst>
            <a:ext uri="{FF2B5EF4-FFF2-40B4-BE49-F238E27FC236}">
              <a16:creationId xmlns:a16="http://schemas.microsoft.com/office/drawing/2014/main" id="{6DF670B6-03C4-0B66-7A34-4D0AB5E97079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9500" name="Line 73">
          <a:extLst>
            <a:ext uri="{FF2B5EF4-FFF2-40B4-BE49-F238E27FC236}">
              <a16:creationId xmlns:a16="http://schemas.microsoft.com/office/drawing/2014/main" id="{471F9E06-B229-66CD-81EA-B4AF19300599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D552357D-F8EA-A9D6-8EA4-6A0D0EBC62A9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4FDA518F-080D-5E3E-7127-EECEE3A4F6F9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1CD72B2B-92FD-147C-94B5-B0C6A12CD3CE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CE70193A-E962-7970-2759-5CAF82293B96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9505" name="Line 78">
          <a:extLst>
            <a:ext uri="{FF2B5EF4-FFF2-40B4-BE49-F238E27FC236}">
              <a16:creationId xmlns:a16="http://schemas.microsoft.com/office/drawing/2014/main" id="{E20BD196-0AD8-0A1D-4CFC-8263911CB33E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9506" name="Line 79">
          <a:extLst>
            <a:ext uri="{FF2B5EF4-FFF2-40B4-BE49-F238E27FC236}">
              <a16:creationId xmlns:a16="http://schemas.microsoft.com/office/drawing/2014/main" id="{CE38FE17-EEE1-4C40-4DED-3EE9C113675D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9507" name="Line 80">
          <a:extLst>
            <a:ext uri="{FF2B5EF4-FFF2-40B4-BE49-F238E27FC236}">
              <a16:creationId xmlns:a16="http://schemas.microsoft.com/office/drawing/2014/main" id="{A834B108-107A-5766-C6A9-48DB7BB84B65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9508" name="Line 81">
          <a:extLst>
            <a:ext uri="{FF2B5EF4-FFF2-40B4-BE49-F238E27FC236}">
              <a16:creationId xmlns:a16="http://schemas.microsoft.com/office/drawing/2014/main" id="{14467899-A5E2-A09F-5007-98DB0ACA016F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9509" name="Line 82">
          <a:extLst>
            <a:ext uri="{FF2B5EF4-FFF2-40B4-BE49-F238E27FC236}">
              <a16:creationId xmlns:a16="http://schemas.microsoft.com/office/drawing/2014/main" id="{FB45557E-9F16-AC70-2858-6C0B8C3708B2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9510" name="Line 83">
          <a:extLst>
            <a:ext uri="{FF2B5EF4-FFF2-40B4-BE49-F238E27FC236}">
              <a16:creationId xmlns:a16="http://schemas.microsoft.com/office/drawing/2014/main" id="{F8AA0CA3-6574-F0D8-1FC5-E7B434D7222B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4661FF27-D14E-C8EE-784C-AFF68085DB7A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9512" name="Line 85">
          <a:extLst>
            <a:ext uri="{FF2B5EF4-FFF2-40B4-BE49-F238E27FC236}">
              <a16:creationId xmlns:a16="http://schemas.microsoft.com/office/drawing/2014/main" id="{75402B98-750F-58A5-27BC-AFB22AABEA9C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9513" name="Line 86">
          <a:extLst>
            <a:ext uri="{FF2B5EF4-FFF2-40B4-BE49-F238E27FC236}">
              <a16:creationId xmlns:a16="http://schemas.microsoft.com/office/drawing/2014/main" id="{9CEBED8B-104C-32CD-0C87-9CB2DF650398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F552C30F-7D2E-229B-C8F7-E7108BC06A22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9515" name="Line 88">
          <a:extLst>
            <a:ext uri="{FF2B5EF4-FFF2-40B4-BE49-F238E27FC236}">
              <a16:creationId xmlns:a16="http://schemas.microsoft.com/office/drawing/2014/main" id="{20D8F340-B199-8B3E-B08A-CC551F5E8827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9516" name="Line 89">
          <a:extLst>
            <a:ext uri="{FF2B5EF4-FFF2-40B4-BE49-F238E27FC236}">
              <a16:creationId xmlns:a16="http://schemas.microsoft.com/office/drawing/2014/main" id="{67D9D108-76D1-CD03-1134-AADAFDAEC6AB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9517" name="Line 90">
          <a:extLst>
            <a:ext uri="{FF2B5EF4-FFF2-40B4-BE49-F238E27FC236}">
              <a16:creationId xmlns:a16="http://schemas.microsoft.com/office/drawing/2014/main" id="{65F06081-7AA8-E0EC-2691-15E8020CF25C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9518" name="Line 91">
          <a:extLst>
            <a:ext uri="{FF2B5EF4-FFF2-40B4-BE49-F238E27FC236}">
              <a16:creationId xmlns:a16="http://schemas.microsoft.com/office/drawing/2014/main" id="{9CC7EF41-38C1-CC7F-BEAF-3C222110802E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9519" name="Line 92">
          <a:extLst>
            <a:ext uri="{FF2B5EF4-FFF2-40B4-BE49-F238E27FC236}">
              <a16:creationId xmlns:a16="http://schemas.microsoft.com/office/drawing/2014/main" id="{1396363B-692C-7467-F7FD-A57EE9D107FB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9520" name="AutoShape 93" descr="Stationery">
          <a:extLst>
            <a:ext uri="{FF2B5EF4-FFF2-40B4-BE49-F238E27FC236}">
              <a16:creationId xmlns:a16="http://schemas.microsoft.com/office/drawing/2014/main" id="{CD4E0F68-E332-EC3F-CCEB-8726CB52C327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9521" name="Line 94">
          <a:extLst>
            <a:ext uri="{FF2B5EF4-FFF2-40B4-BE49-F238E27FC236}">
              <a16:creationId xmlns:a16="http://schemas.microsoft.com/office/drawing/2014/main" id="{F4C3E2C7-A1BC-EAE1-3FF7-7850076EB6A5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9522" name="Line 95">
          <a:extLst>
            <a:ext uri="{FF2B5EF4-FFF2-40B4-BE49-F238E27FC236}">
              <a16:creationId xmlns:a16="http://schemas.microsoft.com/office/drawing/2014/main" id="{F3F20235-115D-41A7-486D-5ACADF455863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87ACC7FE-4876-4EE2-D4E7-3C830441CBF0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F018EC14-04D0-1C45-FC9E-351C1D5246D2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9525" name="Line 98">
          <a:extLst>
            <a:ext uri="{FF2B5EF4-FFF2-40B4-BE49-F238E27FC236}">
              <a16:creationId xmlns:a16="http://schemas.microsoft.com/office/drawing/2014/main" id="{EE94A3F6-5C43-939A-BC28-625841C10977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9526" name="Line 99">
          <a:extLst>
            <a:ext uri="{FF2B5EF4-FFF2-40B4-BE49-F238E27FC236}">
              <a16:creationId xmlns:a16="http://schemas.microsoft.com/office/drawing/2014/main" id="{4FB51664-B057-B86B-650D-46F16D26802A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9527" name="Line 100">
          <a:extLst>
            <a:ext uri="{FF2B5EF4-FFF2-40B4-BE49-F238E27FC236}">
              <a16:creationId xmlns:a16="http://schemas.microsoft.com/office/drawing/2014/main" id="{1E398FAF-5E5C-8521-A731-61095928C8E2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9528" name="Line 101">
          <a:extLst>
            <a:ext uri="{FF2B5EF4-FFF2-40B4-BE49-F238E27FC236}">
              <a16:creationId xmlns:a16="http://schemas.microsoft.com/office/drawing/2014/main" id="{744682DC-AFD3-9334-26D7-5FEB91AF8F6A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29" name="Line 102">
          <a:extLst>
            <a:ext uri="{FF2B5EF4-FFF2-40B4-BE49-F238E27FC236}">
              <a16:creationId xmlns:a16="http://schemas.microsoft.com/office/drawing/2014/main" id="{6C0168BE-A125-85DE-F0D3-4E6C9375CC9C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1D00F9D1-B0F4-A87D-BD57-F5A0763E430C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9531" name="Line 104">
          <a:extLst>
            <a:ext uri="{FF2B5EF4-FFF2-40B4-BE49-F238E27FC236}">
              <a16:creationId xmlns:a16="http://schemas.microsoft.com/office/drawing/2014/main" id="{FCBA59D3-3036-10A9-0429-3E55A078139D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27B8B9F0-D92C-7C25-6E50-0DC6A2452F65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9533" name="Line 106">
          <a:extLst>
            <a:ext uri="{FF2B5EF4-FFF2-40B4-BE49-F238E27FC236}">
              <a16:creationId xmlns:a16="http://schemas.microsoft.com/office/drawing/2014/main" id="{B6578D51-1397-BEBF-FE7A-BD727C296583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C2431653-5734-B002-2782-19E93695FDEC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9535" name="Freeform 108">
          <a:extLst>
            <a:ext uri="{FF2B5EF4-FFF2-40B4-BE49-F238E27FC236}">
              <a16:creationId xmlns:a16="http://schemas.microsoft.com/office/drawing/2014/main" id="{EC55D35B-2D95-3228-53F2-DB7FD95284EA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9536" name="Line 109">
          <a:extLst>
            <a:ext uri="{FF2B5EF4-FFF2-40B4-BE49-F238E27FC236}">
              <a16:creationId xmlns:a16="http://schemas.microsoft.com/office/drawing/2014/main" id="{FA66D604-EC50-4A04-E9F4-76DFC7DF58DB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9537" name="Line 110">
          <a:extLst>
            <a:ext uri="{FF2B5EF4-FFF2-40B4-BE49-F238E27FC236}">
              <a16:creationId xmlns:a16="http://schemas.microsoft.com/office/drawing/2014/main" id="{29D20F11-B855-B12D-2338-64FE51C56B9A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9538" name="Line 111">
          <a:extLst>
            <a:ext uri="{FF2B5EF4-FFF2-40B4-BE49-F238E27FC236}">
              <a16:creationId xmlns:a16="http://schemas.microsoft.com/office/drawing/2014/main" id="{5A15B59F-9EB4-FB33-73E4-1493FCCE7560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9539" name="Line 112">
          <a:extLst>
            <a:ext uri="{FF2B5EF4-FFF2-40B4-BE49-F238E27FC236}">
              <a16:creationId xmlns:a16="http://schemas.microsoft.com/office/drawing/2014/main" id="{8DC2EC37-8CBE-49B4-2B3C-3B6CAA51BA41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9540" name="Line 113">
          <a:extLst>
            <a:ext uri="{FF2B5EF4-FFF2-40B4-BE49-F238E27FC236}">
              <a16:creationId xmlns:a16="http://schemas.microsoft.com/office/drawing/2014/main" id="{5C9D6200-98A3-36FA-DE3E-FE98D6E667EE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9541" name="Line 114">
          <a:extLst>
            <a:ext uri="{FF2B5EF4-FFF2-40B4-BE49-F238E27FC236}">
              <a16:creationId xmlns:a16="http://schemas.microsoft.com/office/drawing/2014/main" id="{3C9EC4DA-FE4C-6B2C-1437-9167D4085FFB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9542" name="Line 115">
          <a:extLst>
            <a:ext uri="{FF2B5EF4-FFF2-40B4-BE49-F238E27FC236}">
              <a16:creationId xmlns:a16="http://schemas.microsoft.com/office/drawing/2014/main" id="{7CD9805C-39A7-CBB5-ED56-0CA0C974A0F6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9543" name="Line 116">
          <a:extLst>
            <a:ext uri="{FF2B5EF4-FFF2-40B4-BE49-F238E27FC236}">
              <a16:creationId xmlns:a16="http://schemas.microsoft.com/office/drawing/2014/main" id="{78625F2D-0BBE-B99C-E0B9-1012CCBFAD80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9544" name="Line 117">
          <a:extLst>
            <a:ext uri="{FF2B5EF4-FFF2-40B4-BE49-F238E27FC236}">
              <a16:creationId xmlns:a16="http://schemas.microsoft.com/office/drawing/2014/main" id="{41CE80B2-A417-9F43-53F0-D8CDF84654C2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9545" name="Line 118">
          <a:extLst>
            <a:ext uri="{FF2B5EF4-FFF2-40B4-BE49-F238E27FC236}">
              <a16:creationId xmlns:a16="http://schemas.microsoft.com/office/drawing/2014/main" id="{27602648-4288-452E-ADB8-B5BC42DDFBEC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6" name="Line 119">
          <a:extLst>
            <a:ext uri="{FF2B5EF4-FFF2-40B4-BE49-F238E27FC236}">
              <a16:creationId xmlns:a16="http://schemas.microsoft.com/office/drawing/2014/main" id="{3066EE63-56D6-8DF0-ADAB-168F7B5DA781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7" name="Line 120">
          <a:extLst>
            <a:ext uri="{FF2B5EF4-FFF2-40B4-BE49-F238E27FC236}">
              <a16:creationId xmlns:a16="http://schemas.microsoft.com/office/drawing/2014/main" id="{B1EA03C1-B250-DCCC-D562-1C34CDC3F68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8" name="Line 121">
          <a:extLst>
            <a:ext uri="{FF2B5EF4-FFF2-40B4-BE49-F238E27FC236}">
              <a16:creationId xmlns:a16="http://schemas.microsoft.com/office/drawing/2014/main" id="{1D5013DB-4E30-1342-9D51-802C52BBB955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9549" name="Line 122">
          <a:extLst>
            <a:ext uri="{FF2B5EF4-FFF2-40B4-BE49-F238E27FC236}">
              <a16:creationId xmlns:a16="http://schemas.microsoft.com/office/drawing/2014/main" id="{C932B09C-2554-930B-11F9-CE3A06FF1368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9550" name="Line 123">
          <a:extLst>
            <a:ext uri="{FF2B5EF4-FFF2-40B4-BE49-F238E27FC236}">
              <a16:creationId xmlns:a16="http://schemas.microsoft.com/office/drawing/2014/main" id="{31B743DD-7E6E-E894-7E38-0D369BBF391C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9551" name="Line 124">
          <a:extLst>
            <a:ext uri="{FF2B5EF4-FFF2-40B4-BE49-F238E27FC236}">
              <a16:creationId xmlns:a16="http://schemas.microsoft.com/office/drawing/2014/main" id="{2A11F181-8074-FB22-7E08-C22060A52713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9552" name="Line 125">
          <a:extLst>
            <a:ext uri="{FF2B5EF4-FFF2-40B4-BE49-F238E27FC236}">
              <a16:creationId xmlns:a16="http://schemas.microsoft.com/office/drawing/2014/main" id="{BF0BEB4D-02C1-3D77-C761-F3DCC7695E46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9553" name="Line 126">
          <a:extLst>
            <a:ext uri="{FF2B5EF4-FFF2-40B4-BE49-F238E27FC236}">
              <a16:creationId xmlns:a16="http://schemas.microsoft.com/office/drawing/2014/main" id="{A86360F4-6998-8327-FC47-6FAC40197DC8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9554" name="Group 127">
          <a:extLst>
            <a:ext uri="{FF2B5EF4-FFF2-40B4-BE49-F238E27FC236}">
              <a16:creationId xmlns:a16="http://schemas.microsoft.com/office/drawing/2014/main" id="{36A60306-C028-FD1F-1060-CB71CB3F2618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9622" name="Oval 128">
            <a:extLst>
              <a:ext uri="{FF2B5EF4-FFF2-40B4-BE49-F238E27FC236}">
                <a16:creationId xmlns:a16="http://schemas.microsoft.com/office/drawing/2014/main" id="{D9C7F3C9-59D6-FB31-498D-FB2C231936A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23" name="Line 129">
            <a:extLst>
              <a:ext uri="{FF2B5EF4-FFF2-40B4-BE49-F238E27FC236}">
                <a16:creationId xmlns:a16="http://schemas.microsoft.com/office/drawing/2014/main" id="{A8ECF07F-FA1B-8C99-ADC8-FAD30703108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9555" name="Group 130">
          <a:extLst>
            <a:ext uri="{FF2B5EF4-FFF2-40B4-BE49-F238E27FC236}">
              <a16:creationId xmlns:a16="http://schemas.microsoft.com/office/drawing/2014/main" id="{24487891-BD4A-EB85-13CF-D0E6C7DBAF14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9620" name="Oval 131">
            <a:extLst>
              <a:ext uri="{FF2B5EF4-FFF2-40B4-BE49-F238E27FC236}">
                <a16:creationId xmlns:a16="http://schemas.microsoft.com/office/drawing/2014/main" id="{110FEFA8-5323-9B23-FFFF-96EF1BA16DA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21" name="Line 132">
            <a:extLst>
              <a:ext uri="{FF2B5EF4-FFF2-40B4-BE49-F238E27FC236}">
                <a16:creationId xmlns:a16="http://schemas.microsoft.com/office/drawing/2014/main" id="{0BFA245D-4654-3D8E-339F-E7BA700F02F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9556" name="Group 133">
          <a:extLst>
            <a:ext uri="{FF2B5EF4-FFF2-40B4-BE49-F238E27FC236}">
              <a16:creationId xmlns:a16="http://schemas.microsoft.com/office/drawing/2014/main" id="{AC6C3868-C5C7-CD34-97B9-2C79CCDD079A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9618" name="Oval 134">
            <a:extLst>
              <a:ext uri="{FF2B5EF4-FFF2-40B4-BE49-F238E27FC236}">
                <a16:creationId xmlns:a16="http://schemas.microsoft.com/office/drawing/2014/main" id="{D7AAAC06-FC6D-DE89-087E-5F1EEAC0A4D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9" name="Line 135">
            <a:extLst>
              <a:ext uri="{FF2B5EF4-FFF2-40B4-BE49-F238E27FC236}">
                <a16:creationId xmlns:a16="http://schemas.microsoft.com/office/drawing/2014/main" id="{46C73D95-6BF5-6152-2F7C-9FA385C4ADC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9557" name="Group 136">
          <a:extLst>
            <a:ext uri="{FF2B5EF4-FFF2-40B4-BE49-F238E27FC236}">
              <a16:creationId xmlns:a16="http://schemas.microsoft.com/office/drawing/2014/main" id="{F8CDD7D4-74E7-9D51-6CEC-E350EC762BBB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9616" name="Oval 137">
            <a:extLst>
              <a:ext uri="{FF2B5EF4-FFF2-40B4-BE49-F238E27FC236}">
                <a16:creationId xmlns:a16="http://schemas.microsoft.com/office/drawing/2014/main" id="{CC0E92DC-ECB0-C434-F117-7938748415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7" name="Line 138">
            <a:extLst>
              <a:ext uri="{FF2B5EF4-FFF2-40B4-BE49-F238E27FC236}">
                <a16:creationId xmlns:a16="http://schemas.microsoft.com/office/drawing/2014/main" id="{876CC90A-F4CB-98C3-B7DC-315FFFF4CF4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9558" name="Group 139">
          <a:extLst>
            <a:ext uri="{FF2B5EF4-FFF2-40B4-BE49-F238E27FC236}">
              <a16:creationId xmlns:a16="http://schemas.microsoft.com/office/drawing/2014/main" id="{035CE3F3-5F08-B314-5720-D1C2D3247493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9614" name="Oval 140">
            <a:extLst>
              <a:ext uri="{FF2B5EF4-FFF2-40B4-BE49-F238E27FC236}">
                <a16:creationId xmlns:a16="http://schemas.microsoft.com/office/drawing/2014/main" id="{A56111C8-9DEF-70ED-94C8-150A83146CA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5" name="Line 141">
            <a:extLst>
              <a:ext uri="{FF2B5EF4-FFF2-40B4-BE49-F238E27FC236}">
                <a16:creationId xmlns:a16="http://schemas.microsoft.com/office/drawing/2014/main" id="{893BC487-CA43-B7F2-5BFD-9AB480D0678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9559" name="Group 142">
          <a:extLst>
            <a:ext uri="{FF2B5EF4-FFF2-40B4-BE49-F238E27FC236}">
              <a16:creationId xmlns:a16="http://schemas.microsoft.com/office/drawing/2014/main" id="{CEDB81B7-7DC4-F035-3206-26DE27291883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9612" name="Oval 143">
            <a:extLst>
              <a:ext uri="{FF2B5EF4-FFF2-40B4-BE49-F238E27FC236}">
                <a16:creationId xmlns:a16="http://schemas.microsoft.com/office/drawing/2014/main" id="{958F88D4-081A-1C37-CACE-2F958CD93B4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3" name="Line 144">
            <a:extLst>
              <a:ext uri="{FF2B5EF4-FFF2-40B4-BE49-F238E27FC236}">
                <a16:creationId xmlns:a16="http://schemas.microsoft.com/office/drawing/2014/main" id="{C000CB34-0123-2A58-13F0-E735AA8C751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9560" name="Group 145">
          <a:extLst>
            <a:ext uri="{FF2B5EF4-FFF2-40B4-BE49-F238E27FC236}">
              <a16:creationId xmlns:a16="http://schemas.microsoft.com/office/drawing/2014/main" id="{28BEFDFD-010A-4202-6545-067AE663A9FC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9610" name="Oval 146">
            <a:extLst>
              <a:ext uri="{FF2B5EF4-FFF2-40B4-BE49-F238E27FC236}">
                <a16:creationId xmlns:a16="http://schemas.microsoft.com/office/drawing/2014/main" id="{4C517C31-9880-F2C0-2F19-6011CC4229F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1" name="Line 147">
            <a:extLst>
              <a:ext uri="{FF2B5EF4-FFF2-40B4-BE49-F238E27FC236}">
                <a16:creationId xmlns:a16="http://schemas.microsoft.com/office/drawing/2014/main" id="{1911859C-214D-2D6A-8059-1909E4B062E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CC5CFFE2-6965-D1C7-1251-B9DD4CE20714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9562" name="Line 149">
          <a:extLst>
            <a:ext uri="{FF2B5EF4-FFF2-40B4-BE49-F238E27FC236}">
              <a16:creationId xmlns:a16="http://schemas.microsoft.com/office/drawing/2014/main" id="{964D0753-9E62-8DB8-06CE-3218000F435D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9563" name="Line 150">
          <a:extLst>
            <a:ext uri="{FF2B5EF4-FFF2-40B4-BE49-F238E27FC236}">
              <a16:creationId xmlns:a16="http://schemas.microsoft.com/office/drawing/2014/main" id="{52A5A78A-F5BD-1B02-9925-240DBE4CC313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2ABE04BD-C897-38DE-920D-B247F358D442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9565" name="Line 153">
          <a:extLst>
            <a:ext uri="{FF2B5EF4-FFF2-40B4-BE49-F238E27FC236}">
              <a16:creationId xmlns:a16="http://schemas.microsoft.com/office/drawing/2014/main" id="{F76332CC-D357-88FC-2B54-AEEEE48B3670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9566" name="Line 154">
          <a:extLst>
            <a:ext uri="{FF2B5EF4-FFF2-40B4-BE49-F238E27FC236}">
              <a16:creationId xmlns:a16="http://schemas.microsoft.com/office/drawing/2014/main" id="{F5809C27-1C58-C0FA-C9D9-42EF9E83C708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9567" name="Freeform 155">
          <a:extLst>
            <a:ext uri="{FF2B5EF4-FFF2-40B4-BE49-F238E27FC236}">
              <a16:creationId xmlns:a16="http://schemas.microsoft.com/office/drawing/2014/main" id="{4B6ABDCB-6272-9380-368B-C5C9A0F1DC21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9568" name="Line 156">
          <a:extLst>
            <a:ext uri="{FF2B5EF4-FFF2-40B4-BE49-F238E27FC236}">
              <a16:creationId xmlns:a16="http://schemas.microsoft.com/office/drawing/2014/main" id="{00ECFCB7-4671-77E6-C74D-D25AEAA8E2EB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9569" name="Line 157">
          <a:extLst>
            <a:ext uri="{FF2B5EF4-FFF2-40B4-BE49-F238E27FC236}">
              <a16:creationId xmlns:a16="http://schemas.microsoft.com/office/drawing/2014/main" id="{AB441EC4-5DA9-6F67-D529-ACA3D52C16D5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9570" name="Line 158">
          <a:extLst>
            <a:ext uri="{FF2B5EF4-FFF2-40B4-BE49-F238E27FC236}">
              <a16:creationId xmlns:a16="http://schemas.microsoft.com/office/drawing/2014/main" id="{F9E36EA0-7233-C12A-6EFD-9AA3A64133A2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9571" name="Line 160">
          <a:extLst>
            <a:ext uri="{FF2B5EF4-FFF2-40B4-BE49-F238E27FC236}">
              <a16:creationId xmlns:a16="http://schemas.microsoft.com/office/drawing/2014/main" id="{9F090EC9-AB30-7817-DD78-BFB185315F80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9572" name="Line 161">
          <a:extLst>
            <a:ext uri="{FF2B5EF4-FFF2-40B4-BE49-F238E27FC236}">
              <a16:creationId xmlns:a16="http://schemas.microsoft.com/office/drawing/2014/main" id="{8460B6C2-23A9-3CD9-D7DB-6E888BB02664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9573" name="Line 162">
          <a:extLst>
            <a:ext uri="{FF2B5EF4-FFF2-40B4-BE49-F238E27FC236}">
              <a16:creationId xmlns:a16="http://schemas.microsoft.com/office/drawing/2014/main" id="{CB2B7FE7-C180-DFEB-00FA-FAF4C4B64F56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9574" name="Line 163">
          <a:extLst>
            <a:ext uri="{FF2B5EF4-FFF2-40B4-BE49-F238E27FC236}">
              <a16:creationId xmlns:a16="http://schemas.microsoft.com/office/drawing/2014/main" id="{114B7788-505A-E6F5-0B9E-86A82ADCFCA8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9575" name="Line 164">
          <a:extLst>
            <a:ext uri="{FF2B5EF4-FFF2-40B4-BE49-F238E27FC236}">
              <a16:creationId xmlns:a16="http://schemas.microsoft.com/office/drawing/2014/main" id="{6307935D-D3A9-27C6-25D7-BCE0780B1F3A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9576" name="Line 165">
          <a:extLst>
            <a:ext uri="{FF2B5EF4-FFF2-40B4-BE49-F238E27FC236}">
              <a16:creationId xmlns:a16="http://schemas.microsoft.com/office/drawing/2014/main" id="{DFAB3388-D3AF-A878-6AAE-60CAEDFB47A2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1335177F-DDBF-6996-D000-C158444AD461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96C4DD05-3EEA-4E8D-FDED-E071B84B57E2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9579" name="Line 2509">
          <a:extLst>
            <a:ext uri="{FF2B5EF4-FFF2-40B4-BE49-F238E27FC236}">
              <a16:creationId xmlns:a16="http://schemas.microsoft.com/office/drawing/2014/main" id="{360ACF43-24C6-32DA-8853-DBBED9FB627E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DEBCE8F4-E148-4007-42E6-F98AD697337D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68AC9C98-E178-9C26-AD28-66FA92997EE6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9582" name="Group 183">
          <a:extLst>
            <a:ext uri="{FF2B5EF4-FFF2-40B4-BE49-F238E27FC236}">
              <a16:creationId xmlns:a16="http://schemas.microsoft.com/office/drawing/2014/main" id="{5C0CE07C-3EAF-EB9A-0A4C-A8591AD1B8E4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6479AAF2-982D-02B8-C6D8-B5CB2127EA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9602" name="Line 2507">
            <a:extLst>
              <a:ext uri="{FF2B5EF4-FFF2-40B4-BE49-F238E27FC236}">
                <a16:creationId xmlns:a16="http://schemas.microsoft.com/office/drawing/2014/main" id="{362222E9-6DD2-A6E6-4A52-0F3269B7119D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F1FDAA76-B2E2-4425-5B67-B9AE33C05546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11E39777-3CA8-4D80-5901-2EFB5D890E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D40659AC-AE7C-D310-A79E-C530B186A0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3C3B6C96-48D6-5DD2-AF52-F8FE0235DA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C61937DE-311C-7375-9533-7E7BC07E66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9608" name="Line 2515">
            <a:extLst>
              <a:ext uri="{FF2B5EF4-FFF2-40B4-BE49-F238E27FC236}">
                <a16:creationId xmlns:a16="http://schemas.microsoft.com/office/drawing/2014/main" id="{206AF03A-D7D1-C5CD-7BEB-4DDB624C1D3B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BD6F7A20-E612-C4CA-CFE0-A9CF2B24E1B8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72BC3BCC-D848-77A9-47F0-B594EE5F9FD2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B6B5F3F3-A482-B57D-8E70-C171671DC962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C9692F98-F752-F16B-58DB-1B315978F684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F67A73BD-7463-7849-2303-0584A7005590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6DE014D0-3D99-3A15-C97A-1AD17B9C067A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2284912E-B560-18D0-FFE0-0801C373B676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9589" name="Line 2515">
          <a:extLst>
            <a:ext uri="{FF2B5EF4-FFF2-40B4-BE49-F238E27FC236}">
              <a16:creationId xmlns:a16="http://schemas.microsoft.com/office/drawing/2014/main" id="{072320BF-AF59-6DA9-FFB7-7F412A2F25AB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1CB716A4-843F-C4C7-ECEB-72FA4DFAE6A6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6F41A868-940D-F9EB-6BC8-AC422DC0E7C3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294CA670-19DB-8C82-CDB4-838828598907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B3A47FB6-68A3-00B3-66A4-BC1B9F3C9925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14A2864C-B1A8-B9C0-8B5B-464B4B98173E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96E4FE23-209B-2A91-4026-2C9FDDA7D7E2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05397C10-D567-C13B-9EA9-64F787A06335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2D691D07-4682-BEC5-8D98-820B895F618C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F6A7FFD1-C588-5CAF-8BD8-024E8FB3B050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768B8DEA-9D67-CEDD-94C3-C5BF2D42893C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B940DD04-D141-0CDB-1309-08ECCC4C6D2B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0452" name="Rectangle 1">
          <a:extLst>
            <a:ext uri="{FF2B5EF4-FFF2-40B4-BE49-F238E27FC236}">
              <a16:creationId xmlns:a16="http://schemas.microsoft.com/office/drawing/2014/main" id="{01187DD6-7A00-DB3F-AA6B-101B870EBE96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0453" name="Line 2">
          <a:extLst>
            <a:ext uri="{FF2B5EF4-FFF2-40B4-BE49-F238E27FC236}">
              <a16:creationId xmlns:a16="http://schemas.microsoft.com/office/drawing/2014/main" id="{9C69A722-64BD-F50A-D9C2-B3E0942B231A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0454" name="Line 3">
          <a:extLst>
            <a:ext uri="{FF2B5EF4-FFF2-40B4-BE49-F238E27FC236}">
              <a16:creationId xmlns:a16="http://schemas.microsoft.com/office/drawing/2014/main" id="{1160E069-39B1-54E2-83BF-80F4E81F8F6E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5" name="Line 4">
          <a:extLst>
            <a:ext uri="{FF2B5EF4-FFF2-40B4-BE49-F238E27FC236}">
              <a16:creationId xmlns:a16="http://schemas.microsoft.com/office/drawing/2014/main" id="{73F6B9F3-6F1A-CD32-C9CC-A6A31C35FF0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6" name="Line 5">
          <a:extLst>
            <a:ext uri="{FF2B5EF4-FFF2-40B4-BE49-F238E27FC236}">
              <a16:creationId xmlns:a16="http://schemas.microsoft.com/office/drawing/2014/main" id="{A5EA9302-4137-227A-01EC-989E384F4B1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7" name="Line 6">
          <a:extLst>
            <a:ext uri="{FF2B5EF4-FFF2-40B4-BE49-F238E27FC236}">
              <a16:creationId xmlns:a16="http://schemas.microsoft.com/office/drawing/2014/main" id="{25D6265D-F0F7-DE91-BDBB-1DE4EDF34F6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8" name="Line 7">
          <a:extLst>
            <a:ext uri="{FF2B5EF4-FFF2-40B4-BE49-F238E27FC236}">
              <a16:creationId xmlns:a16="http://schemas.microsoft.com/office/drawing/2014/main" id="{D47D553A-3B58-0724-B35B-9EDBE71CC97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9" name="Line 8">
          <a:extLst>
            <a:ext uri="{FF2B5EF4-FFF2-40B4-BE49-F238E27FC236}">
              <a16:creationId xmlns:a16="http://schemas.microsoft.com/office/drawing/2014/main" id="{791D95F9-BF15-AA9D-6FC0-64BF4528099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0" name="Line 9">
          <a:extLst>
            <a:ext uri="{FF2B5EF4-FFF2-40B4-BE49-F238E27FC236}">
              <a16:creationId xmlns:a16="http://schemas.microsoft.com/office/drawing/2014/main" id="{4E087F80-ED23-99F3-D832-1702E5D8623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1" name="Line 10">
          <a:extLst>
            <a:ext uri="{FF2B5EF4-FFF2-40B4-BE49-F238E27FC236}">
              <a16:creationId xmlns:a16="http://schemas.microsoft.com/office/drawing/2014/main" id="{0C3360EA-C9AA-5FDF-AA73-56CADF5C1B1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2" name="Line 11">
          <a:extLst>
            <a:ext uri="{FF2B5EF4-FFF2-40B4-BE49-F238E27FC236}">
              <a16:creationId xmlns:a16="http://schemas.microsoft.com/office/drawing/2014/main" id="{F0311F3B-057B-9031-32E9-6D669697088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3" name="Line 12">
          <a:extLst>
            <a:ext uri="{FF2B5EF4-FFF2-40B4-BE49-F238E27FC236}">
              <a16:creationId xmlns:a16="http://schemas.microsoft.com/office/drawing/2014/main" id="{AF3A6B64-A5AE-E701-5B59-886908BECB6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4" name="Line 13">
          <a:extLst>
            <a:ext uri="{FF2B5EF4-FFF2-40B4-BE49-F238E27FC236}">
              <a16:creationId xmlns:a16="http://schemas.microsoft.com/office/drawing/2014/main" id="{8BC9E27F-FB8D-EECD-78AB-B6E5A1F17F3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0465" name="Line 14">
          <a:extLst>
            <a:ext uri="{FF2B5EF4-FFF2-40B4-BE49-F238E27FC236}">
              <a16:creationId xmlns:a16="http://schemas.microsoft.com/office/drawing/2014/main" id="{CB5F9D89-91F1-F99F-A66B-6CFF7D51621F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0466" name="Line 15">
          <a:extLst>
            <a:ext uri="{FF2B5EF4-FFF2-40B4-BE49-F238E27FC236}">
              <a16:creationId xmlns:a16="http://schemas.microsoft.com/office/drawing/2014/main" id="{BD94F572-1234-4F8D-F3B7-B203C0886F06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67" name="Line 16">
          <a:extLst>
            <a:ext uri="{FF2B5EF4-FFF2-40B4-BE49-F238E27FC236}">
              <a16:creationId xmlns:a16="http://schemas.microsoft.com/office/drawing/2014/main" id="{3CAB0A8F-28CC-245F-92F0-565F19D1793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0468" name="Line 17">
          <a:extLst>
            <a:ext uri="{FF2B5EF4-FFF2-40B4-BE49-F238E27FC236}">
              <a16:creationId xmlns:a16="http://schemas.microsoft.com/office/drawing/2014/main" id="{7D321086-03F3-6137-29AF-BC9008E93327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0469" name="Line 18">
          <a:extLst>
            <a:ext uri="{FF2B5EF4-FFF2-40B4-BE49-F238E27FC236}">
              <a16:creationId xmlns:a16="http://schemas.microsoft.com/office/drawing/2014/main" id="{B4C2FBAC-1892-DE0C-BFDB-3EC38E604651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0" name="Line 19">
          <a:extLst>
            <a:ext uri="{FF2B5EF4-FFF2-40B4-BE49-F238E27FC236}">
              <a16:creationId xmlns:a16="http://schemas.microsoft.com/office/drawing/2014/main" id="{F9E08658-685F-FA44-2C42-50F1A6EADBB9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1" name="Line 20">
          <a:extLst>
            <a:ext uri="{FF2B5EF4-FFF2-40B4-BE49-F238E27FC236}">
              <a16:creationId xmlns:a16="http://schemas.microsoft.com/office/drawing/2014/main" id="{600441FB-0D62-FE51-4683-A2E7B8F49F45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2" name="Line 21">
          <a:extLst>
            <a:ext uri="{FF2B5EF4-FFF2-40B4-BE49-F238E27FC236}">
              <a16:creationId xmlns:a16="http://schemas.microsoft.com/office/drawing/2014/main" id="{E5CC512A-644B-27ED-A30C-9107851FC03A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3" name="Line 22">
          <a:extLst>
            <a:ext uri="{FF2B5EF4-FFF2-40B4-BE49-F238E27FC236}">
              <a16:creationId xmlns:a16="http://schemas.microsoft.com/office/drawing/2014/main" id="{559DA2FD-50BE-677B-5BBF-74E3DCB568DA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4" name="Line 23">
          <a:extLst>
            <a:ext uri="{FF2B5EF4-FFF2-40B4-BE49-F238E27FC236}">
              <a16:creationId xmlns:a16="http://schemas.microsoft.com/office/drawing/2014/main" id="{0B289706-DDDE-F6A8-2821-B80BA924C22A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5" name="Line 24">
          <a:extLst>
            <a:ext uri="{FF2B5EF4-FFF2-40B4-BE49-F238E27FC236}">
              <a16:creationId xmlns:a16="http://schemas.microsoft.com/office/drawing/2014/main" id="{45D32BC2-89EF-ADC9-E90D-95855E7B598C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6" name="Line 25">
          <a:extLst>
            <a:ext uri="{FF2B5EF4-FFF2-40B4-BE49-F238E27FC236}">
              <a16:creationId xmlns:a16="http://schemas.microsoft.com/office/drawing/2014/main" id="{F62FB363-943C-A4A6-4D8B-4678AABB7DDE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CE878AEB-8857-DDE8-95C7-103E89528D6D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0478" name="Line 27">
          <a:extLst>
            <a:ext uri="{FF2B5EF4-FFF2-40B4-BE49-F238E27FC236}">
              <a16:creationId xmlns:a16="http://schemas.microsoft.com/office/drawing/2014/main" id="{236FD5AE-E351-7732-C820-7F90461FCC0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0479" name="Line 28">
          <a:extLst>
            <a:ext uri="{FF2B5EF4-FFF2-40B4-BE49-F238E27FC236}">
              <a16:creationId xmlns:a16="http://schemas.microsoft.com/office/drawing/2014/main" id="{07113331-9AC9-F7B2-2640-837598F97D44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291AA6E0-E3B5-0F92-0BFA-262B06C6B115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1" name="Line 30">
          <a:extLst>
            <a:ext uri="{FF2B5EF4-FFF2-40B4-BE49-F238E27FC236}">
              <a16:creationId xmlns:a16="http://schemas.microsoft.com/office/drawing/2014/main" id="{0F837E45-7F94-2820-9ACE-37DEBC370E6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2" name="Line 31">
          <a:extLst>
            <a:ext uri="{FF2B5EF4-FFF2-40B4-BE49-F238E27FC236}">
              <a16:creationId xmlns:a16="http://schemas.microsoft.com/office/drawing/2014/main" id="{76DD6B61-E1E6-C621-7436-FF864EA25E2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3" name="Line 32">
          <a:extLst>
            <a:ext uri="{FF2B5EF4-FFF2-40B4-BE49-F238E27FC236}">
              <a16:creationId xmlns:a16="http://schemas.microsoft.com/office/drawing/2014/main" id="{897B5953-B810-A24C-AB61-B248F303F4D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4" name="Line 33">
          <a:extLst>
            <a:ext uri="{FF2B5EF4-FFF2-40B4-BE49-F238E27FC236}">
              <a16:creationId xmlns:a16="http://schemas.microsoft.com/office/drawing/2014/main" id="{A1949703-3F4E-4667-5CEE-40C4A0AC045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0485" name="Rectangle 34">
          <a:extLst>
            <a:ext uri="{FF2B5EF4-FFF2-40B4-BE49-F238E27FC236}">
              <a16:creationId xmlns:a16="http://schemas.microsoft.com/office/drawing/2014/main" id="{87DEE50C-4FB6-F2B7-9797-27F2762A6B6B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0486" name="Line 35">
          <a:extLst>
            <a:ext uri="{FF2B5EF4-FFF2-40B4-BE49-F238E27FC236}">
              <a16:creationId xmlns:a16="http://schemas.microsoft.com/office/drawing/2014/main" id="{AAF8D564-B2B7-E8BE-FAED-1179D0FEE6BD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0487" name="Line 36">
          <a:extLst>
            <a:ext uri="{FF2B5EF4-FFF2-40B4-BE49-F238E27FC236}">
              <a16:creationId xmlns:a16="http://schemas.microsoft.com/office/drawing/2014/main" id="{C689B087-8267-9B26-67F8-046C741B436C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88" name="Line 37">
          <a:extLst>
            <a:ext uri="{FF2B5EF4-FFF2-40B4-BE49-F238E27FC236}">
              <a16:creationId xmlns:a16="http://schemas.microsoft.com/office/drawing/2014/main" id="{6F6E4862-DF5E-A892-3EA4-EADA0DFC84F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89" name="Line 38">
          <a:extLst>
            <a:ext uri="{FF2B5EF4-FFF2-40B4-BE49-F238E27FC236}">
              <a16:creationId xmlns:a16="http://schemas.microsoft.com/office/drawing/2014/main" id="{84934D22-A167-E973-05AF-B4001E04A0A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0" name="Line 39">
          <a:extLst>
            <a:ext uri="{FF2B5EF4-FFF2-40B4-BE49-F238E27FC236}">
              <a16:creationId xmlns:a16="http://schemas.microsoft.com/office/drawing/2014/main" id="{F25D55FB-2F41-2E25-7132-2CF2781B513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1" name="Line 40">
          <a:extLst>
            <a:ext uri="{FF2B5EF4-FFF2-40B4-BE49-F238E27FC236}">
              <a16:creationId xmlns:a16="http://schemas.microsoft.com/office/drawing/2014/main" id="{FC67B2A2-DD7A-2932-622B-60D7F17BFE5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2" name="Line 41">
          <a:extLst>
            <a:ext uri="{FF2B5EF4-FFF2-40B4-BE49-F238E27FC236}">
              <a16:creationId xmlns:a16="http://schemas.microsoft.com/office/drawing/2014/main" id="{FFDD2A48-ECDB-CB8E-8C51-40FB3861E86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3" name="Line 42">
          <a:extLst>
            <a:ext uri="{FF2B5EF4-FFF2-40B4-BE49-F238E27FC236}">
              <a16:creationId xmlns:a16="http://schemas.microsoft.com/office/drawing/2014/main" id="{0143BF9C-2B9A-04F8-C41F-0A5D43E6034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4" name="Line 43">
          <a:extLst>
            <a:ext uri="{FF2B5EF4-FFF2-40B4-BE49-F238E27FC236}">
              <a16:creationId xmlns:a16="http://schemas.microsoft.com/office/drawing/2014/main" id="{23BE2072-2355-191D-CEF0-45E706B58B0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5" name="Line 44">
          <a:extLst>
            <a:ext uri="{FF2B5EF4-FFF2-40B4-BE49-F238E27FC236}">
              <a16:creationId xmlns:a16="http://schemas.microsoft.com/office/drawing/2014/main" id="{EC61D7AB-98C6-ECFC-B6BE-E6C1954A081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6" name="Line 45">
          <a:extLst>
            <a:ext uri="{FF2B5EF4-FFF2-40B4-BE49-F238E27FC236}">
              <a16:creationId xmlns:a16="http://schemas.microsoft.com/office/drawing/2014/main" id="{A867AD77-F060-2E52-9EFB-EAC12DDB3B3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7" name="Line 46">
          <a:extLst>
            <a:ext uri="{FF2B5EF4-FFF2-40B4-BE49-F238E27FC236}">
              <a16:creationId xmlns:a16="http://schemas.microsoft.com/office/drawing/2014/main" id="{33010FF6-5EB2-9F72-4436-75806E6E4A7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0498" name="Line 47">
          <a:extLst>
            <a:ext uri="{FF2B5EF4-FFF2-40B4-BE49-F238E27FC236}">
              <a16:creationId xmlns:a16="http://schemas.microsoft.com/office/drawing/2014/main" id="{9B88B5E1-365C-66F9-5F61-75783291C8F3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0499" name="Line 48">
          <a:extLst>
            <a:ext uri="{FF2B5EF4-FFF2-40B4-BE49-F238E27FC236}">
              <a16:creationId xmlns:a16="http://schemas.microsoft.com/office/drawing/2014/main" id="{8E2BDACB-DEED-4CD1-548C-D02A78B05156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500" name="Line 49">
          <a:extLst>
            <a:ext uri="{FF2B5EF4-FFF2-40B4-BE49-F238E27FC236}">
              <a16:creationId xmlns:a16="http://schemas.microsoft.com/office/drawing/2014/main" id="{CA60BD66-1681-6F06-1757-5DC2333E29D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0501" name="Line 50">
          <a:extLst>
            <a:ext uri="{FF2B5EF4-FFF2-40B4-BE49-F238E27FC236}">
              <a16:creationId xmlns:a16="http://schemas.microsoft.com/office/drawing/2014/main" id="{38CA043A-3561-7E6D-C226-77868C5BCD2D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0502" name="Line 51">
          <a:extLst>
            <a:ext uri="{FF2B5EF4-FFF2-40B4-BE49-F238E27FC236}">
              <a16:creationId xmlns:a16="http://schemas.microsoft.com/office/drawing/2014/main" id="{2791DFBE-7E3D-C326-B152-9AAF952A83C5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503" name="Line 52">
          <a:extLst>
            <a:ext uri="{FF2B5EF4-FFF2-40B4-BE49-F238E27FC236}">
              <a16:creationId xmlns:a16="http://schemas.microsoft.com/office/drawing/2014/main" id="{516A8067-CC75-0E50-CED8-717ED6E9897C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504" name="Line 53">
          <a:extLst>
            <a:ext uri="{FF2B5EF4-FFF2-40B4-BE49-F238E27FC236}">
              <a16:creationId xmlns:a16="http://schemas.microsoft.com/office/drawing/2014/main" id="{F57C5E83-80BF-AE85-7D7B-DAD03C74592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505" name="Line 54">
          <a:extLst>
            <a:ext uri="{FF2B5EF4-FFF2-40B4-BE49-F238E27FC236}">
              <a16:creationId xmlns:a16="http://schemas.microsoft.com/office/drawing/2014/main" id="{75634E9B-F374-005E-6C41-1940C39D38B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0506" name="Line 55">
          <a:extLst>
            <a:ext uri="{FF2B5EF4-FFF2-40B4-BE49-F238E27FC236}">
              <a16:creationId xmlns:a16="http://schemas.microsoft.com/office/drawing/2014/main" id="{8D9ADF44-AE7C-7AF7-19C7-F4C1476608C8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873819C4-F26B-17A5-1BD8-1401A27F7394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D96FD709-53EC-99EA-D137-5C1111363F3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5BD2369F-4A66-693C-466A-1AB3E614924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7D3138E0-992E-FF2F-EAD0-B3D9DF6F4F8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13224513-A087-E5AE-67BB-D6E0B1D80308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8429995D-BFE9-F3FA-4FCE-C03DEE1F9B5A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0513" name="Line 62">
          <a:extLst>
            <a:ext uri="{FF2B5EF4-FFF2-40B4-BE49-F238E27FC236}">
              <a16:creationId xmlns:a16="http://schemas.microsoft.com/office/drawing/2014/main" id="{003DB0CC-99E9-9F42-A197-2DFA9C60617F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0514" name="Line 63">
          <a:extLst>
            <a:ext uri="{FF2B5EF4-FFF2-40B4-BE49-F238E27FC236}">
              <a16:creationId xmlns:a16="http://schemas.microsoft.com/office/drawing/2014/main" id="{F41A190B-6CDA-FC4B-2C48-9422885725E6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0515" name="Line 64">
          <a:extLst>
            <a:ext uri="{FF2B5EF4-FFF2-40B4-BE49-F238E27FC236}">
              <a16:creationId xmlns:a16="http://schemas.microsoft.com/office/drawing/2014/main" id="{8C45F6EE-FE69-F944-FAB1-EE6708F9F493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70516" name="Line 65">
          <a:extLst>
            <a:ext uri="{FF2B5EF4-FFF2-40B4-BE49-F238E27FC236}">
              <a16:creationId xmlns:a16="http://schemas.microsoft.com/office/drawing/2014/main" id="{28C247F5-B3C4-E5CA-20B0-F0F9EEC5B74E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70517" name="Line 66">
          <a:extLst>
            <a:ext uri="{FF2B5EF4-FFF2-40B4-BE49-F238E27FC236}">
              <a16:creationId xmlns:a16="http://schemas.microsoft.com/office/drawing/2014/main" id="{D2F1F447-D452-10D4-EA73-05910E506832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0518" name="Line 67">
          <a:extLst>
            <a:ext uri="{FF2B5EF4-FFF2-40B4-BE49-F238E27FC236}">
              <a16:creationId xmlns:a16="http://schemas.microsoft.com/office/drawing/2014/main" id="{B837BEE7-4EAF-E8B4-CB70-EDCAEF4AC142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2A7BB289-64BA-722D-E845-AAD7E5EFB6A0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0520" name="Line 69">
          <a:extLst>
            <a:ext uri="{FF2B5EF4-FFF2-40B4-BE49-F238E27FC236}">
              <a16:creationId xmlns:a16="http://schemas.microsoft.com/office/drawing/2014/main" id="{CA52D101-B701-6FDB-D5F6-1DADC5C349B8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35EEF1B2-8FD7-4450-4E2D-3F8725E5EEF5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0522" name="Line 71">
          <a:extLst>
            <a:ext uri="{FF2B5EF4-FFF2-40B4-BE49-F238E27FC236}">
              <a16:creationId xmlns:a16="http://schemas.microsoft.com/office/drawing/2014/main" id="{B57DBF36-BE6E-6532-DE8F-F74AD9B591EE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0523" name="Line 72">
          <a:extLst>
            <a:ext uri="{FF2B5EF4-FFF2-40B4-BE49-F238E27FC236}">
              <a16:creationId xmlns:a16="http://schemas.microsoft.com/office/drawing/2014/main" id="{039A2C8B-48EA-4ACA-9859-FA178854B427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0524" name="Line 73">
          <a:extLst>
            <a:ext uri="{FF2B5EF4-FFF2-40B4-BE49-F238E27FC236}">
              <a16:creationId xmlns:a16="http://schemas.microsoft.com/office/drawing/2014/main" id="{A6533A08-DD65-2DBE-ED5C-BF6C7F567985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C96D6C78-5BBC-C131-5736-FD6A2FB3DD07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9B463742-AF35-50D5-E1AF-0CAE878F8E2C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9A0A42B6-2DE6-2F21-313C-779205C11999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779DC98D-E01E-4E4F-9643-96055A023F9F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0529" name="Line 78">
          <a:extLst>
            <a:ext uri="{FF2B5EF4-FFF2-40B4-BE49-F238E27FC236}">
              <a16:creationId xmlns:a16="http://schemas.microsoft.com/office/drawing/2014/main" id="{C26850C9-29BC-1E7F-90D2-21E542BC6F1B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0530" name="Line 79">
          <a:extLst>
            <a:ext uri="{FF2B5EF4-FFF2-40B4-BE49-F238E27FC236}">
              <a16:creationId xmlns:a16="http://schemas.microsoft.com/office/drawing/2014/main" id="{07AD36D2-3865-6E59-3E23-5A31F8CD7318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0531" name="Line 80">
          <a:extLst>
            <a:ext uri="{FF2B5EF4-FFF2-40B4-BE49-F238E27FC236}">
              <a16:creationId xmlns:a16="http://schemas.microsoft.com/office/drawing/2014/main" id="{C6C78515-DF1E-22F6-9222-F018A3905D8E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0532" name="Line 81">
          <a:extLst>
            <a:ext uri="{FF2B5EF4-FFF2-40B4-BE49-F238E27FC236}">
              <a16:creationId xmlns:a16="http://schemas.microsoft.com/office/drawing/2014/main" id="{76987FE9-403A-280B-A0DE-5D903C0F0691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0533" name="Line 82">
          <a:extLst>
            <a:ext uri="{FF2B5EF4-FFF2-40B4-BE49-F238E27FC236}">
              <a16:creationId xmlns:a16="http://schemas.microsoft.com/office/drawing/2014/main" id="{9B0CB3A1-439E-CD43-596B-78D7D5E76CEC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0534" name="Line 83">
          <a:extLst>
            <a:ext uri="{FF2B5EF4-FFF2-40B4-BE49-F238E27FC236}">
              <a16:creationId xmlns:a16="http://schemas.microsoft.com/office/drawing/2014/main" id="{86F03BB8-2EBE-1BD2-C59B-77523D0F7FA2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763929E6-DB4F-8DF3-370D-2C46540CE447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0536" name="Line 85">
          <a:extLst>
            <a:ext uri="{FF2B5EF4-FFF2-40B4-BE49-F238E27FC236}">
              <a16:creationId xmlns:a16="http://schemas.microsoft.com/office/drawing/2014/main" id="{B05D2C8A-C054-0629-2C68-0A7765592578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0537" name="Line 86">
          <a:extLst>
            <a:ext uri="{FF2B5EF4-FFF2-40B4-BE49-F238E27FC236}">
              <a16:creationId xmlns:a16="http://schemas.microsoft.com/office/drawing/2014/main" id="{08BD6F0B-E895-745C-4619-AA464B206A2D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01A5E0EE-1808-0CDF-14DF-77D974E9D6AA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0539" name="Line 88">
          <a:extLst>
            <a:ext uri="{FF2B5EF4-FFF2-40B4-BE49-F238E27FC236}">
              <a16:creationId xmlns:a16="http://schemas.microsoft.com/office/drawing/2014/main" id="{B5C463E1-A136-5257-CAB5-2230BB6B7BDB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0540" name="Line 89">
          <a:extLst>
            <a:ext uri="{FF2B5EF4-FFF2-40B4-BE49-F238E27FC236}">
              <a16:creationId xmlns:a16="http://schemas.microsoft.com/office/drawing/2014/main" id="{FB938CBB-63E1-3C6C-22AC-7D45A19CEEDD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0541" name="Line 90">
          <a:extLst>
            <a:ext uri="{FF2B5EF4-FFF2-40B4-BE49-F238E27FC236}">
              <a16:creationId xmlns:a16="http://schemas.microsoft.com/office/drawing/2014/main" id="{593EA1A7-A6F8-BEAF-8919-F4D62E225C46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0542" name="Line 91">
          <a:extLst>
            <a:ext uri="{FF2B5EF4-FFF2-40B4-BE49-F238E27FC236}">
              <a16:creationId xmlns:a16="http://schemas.microsoft.com/office/drawing/2014/main" id="{00927183-3855-A027-77EA-A7C0829E4E22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0543" name="Line 92">
          <a:extLst>
            <a:ext uri="{FF2B5EF4-FFF2-40B4-BE49-F238E27FC236}">
              <a16:creationId xmlns:a16="http://schemas.microsoft.com/office/drawing/2014/main" id="{0F683576-60E7-E82C-E437-856B23E3286C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0544" name="AutoShape 93" descr="Stationery">
          <a:extLst>
            <a:ext uri="{FF2B5EF4-FFF2-40B4-BE49-F238E27FC236}">
              <a16:creationId xmlns:a16="http://schemas.microsoft.com/office/drawing/2014/main" id="{7DA7C005-0AF4-4305-96AF-1A72EC12A7D2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0545" name="Line 94">
          <a:extLst>
            <a:ext uri="{FF2B5EF4-FFF2-40B4-BE49-F238E27FC236}">
              <a16:creationId xmlns:a16="http://schemas.microsoft.com/office/drawing/2014/main" id="{478844F5-5013-18BD-3501-873E6AABA390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0546" name="Line 95">
          <a:extLst>
            <a:ext uri="{FF2B5EF4-FFF2-40B4-BE49-F238E27FC236}">
              <a16:creationId xmlns:a16="http://schemas.microsoft.com/office/drawing/2014/main" id="{E990899B-899F-E760-47B5-05D9C486C07B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7211BAD6-A945-85A9-79FE-01225B237175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16A22D2D-27A7-C45B-CDED-D827CA4A04D9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0549" name="Line 98">
          <a:extLst>
            <a:ext uri="{FF2B5EF4-FFF2-40B4-BE49-F238E27FC236}">
              <a16:creationId xmlns:a16="http://schemas.microsoft.com/office/drawing/2014/main" id="{C748B87B-0B73-97B7-C108-C55538632E55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0550" name="Line 99">
          <a:extLst>
            <a:ext uri="{FF2B5EF4-FFF2-40B4-BE49-F238E27FC236}">
              <a16:creationId xmlns:a16="http://schemas.microsoft.com/office/drawing/2014/main" id="{2ACB6B0E-B498-613E-51A8-DE93B639D8E8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0551" name="Line 100">
          <a:extLst>
            <a:ext uri="{FF2B5EF4-FFF2-40B4-BE49-F238E27FC236}">
              <a16:creationId xmlns:a16="http://schemas.microsoft.com/office/drawing/2014/main" id="{30036C7C-4806-7285-1DF3-FC1E4B981F7F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0552" name="Line 101">
          <a:extLst>
            <a:ext uri="{FF2B5EF4-FFF2-40B4-BE49-F238E27FC236}">
              <a16:creationId xmlns:a16="http://schemas.microsoft.com/office/drawing/2014/main" id="{1CA2A22A-D4D3-57AC-DB34-9667BFA9060E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53" name="Line 102">
          <a:extLst>
            <a:ext uri="{FF2B5EF4-FFF2-40B4-BE49-F238E27FC236}">
              <a16:creationId xmlns:a16="http://schemas.microsoft.com/office/drawing/2014/main" id="{8DA4341C-393B-72B3-34BD-181BEB108EC2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814B7C27-5D15-48A5-6319-3B2F5264F555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0555" name="Line 104">
          <a:extLst>
            <a:ext uri="{FF2B5EF4-FFF2-40B4-BE49-F238E27FC236}">
              <a16:creationId xmlns:a16="http://schemas.microsoft.com/office/drawing/2014/main" id="{10092529-26BE-2C1E-DA34-E51D961E6995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4D2B6FF2-594A-D10E-4295-5864F1094BA3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0557" name="Line 106">
          <a:extLst>
            <a:ext uri="{FF2B5EF4-FFF2-40B4-BE49-F238E27FC236}">
              <a16:creationId xmlns:a16="http://schemas.microsoft.com/office/drawing/2014/main" id="{86C9CC74-5EBD-7B95-9918-1A915CB378F3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F500DD9B-F93B-E2C2-26B2-44367C4FE3A1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0559" name="Freeform 108">
          <a:extLst>
            <a:ext uri="{FF2B5EF4-FFF2-40B4-BE49-F238E27FC236}">
              <a16:creationId xmlns:a16="http://schemas.microsoft.com/office/drawing/2014/main" id="{84029618-277F-7544-9167-19D781F7205C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0560" name="Line 109">
          <a:extLst>
            <a:ext uri="{FF2B5EF4-FFF2-40B4-BE49-F238E27FC236}">
              <a16:creationId xmlns:a16="http://schemas.microsoft.com/office/drawing/2014/main" id="{C90D0E3E-D1C0-D1A3-7091-A55156A1E797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0561" name="Line 110">
          <a:extLst>
            <a:ext uri="{FF2B5EF4-FFF2-40B4-BE49-F238E27FC236}">
              <a16:creationId xmlns:a16="http://schemas.microsoft.com/office/drawing/2014/main" id="{C628B9AE-644E-66D4-3A88-F65DB7798815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0562" name="Line 111">
          <a:extLst>
            <a:ext uri="{FF2B5EF4-FFF2-40B4-BE49-F238E27FC236}">
              <a16:creationId xmlns:a16="http://schemas.microsoft.com/office/drawing/2014/main" id="{6BC2C607-38EF-C9AA-4FE0-8037622C5873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0563" name="Line 112">
          <a:extLst>
            <a:ext uri="{FF2B5EF4-FFF2-40B4-BE49-F238E27FC236}">
              <a16:creationId xmlns:a16="http://schemas.microsoft.com/office/drawing/2014/main" id="{2FFFE311-B66F-FFBD-D953-07D4C15B3E68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0564" name="Line 113">
          <a:extLst>
            <a:ext uri="{FF2B5EF4-FFF2-40B4-BE49-F238E27FC236}">
              <a16:creationId xmlns:a16="http://schemas.microsoft.com/office/drawing/2014/main" id="{69E0F87D-AD09-BA3E-7E63-4F86B1C4E27B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0565" name="Line 114">
          <a:extLst>
            <a:ext uri="{FF2B5EF4-FFF2-40B4-BE49-F238E27FC236}">
              <a16:creationId xmlns:a16="http://schemas.microsoft.com/office/drawing/2014/main" id="{AB947638-E9E3-E622-1BD5-538518CED30E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0566" name="Line 115">
          <a:extLst>
            <a:ext uri="{FF2B5EF4-FFF2-40B4-BE49-F238E27FC236}">
              <a16:creationId xmlns:a16="http://schemas.microsoft.com/office/drawing/2014/main" id="{23E4ACED-807A-1572-5646-745A77104452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0567" name="Line 116">
          <a:extLst>
            <a:ext uri="{FF2B5EF4-FFF2-40B4-BE49-F238E27FC236}">
              <a16:creationId xmlns:a16="http://schemas.microsoft.com/office/drawing/2014/main" id="{D9877B12-EE4E-0074-A078-33BD0DFBE3BF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0568" name="Line 117">
          <a:extLst>
            <a:ext uri="{FF2B5EF4-FFF2-40B4-BE49-F238E27FC236}">
              <a16:creationId xmlns:a16="http://schemas.microsoft.com/office/drawing/2014/main" id="{79891A17-C1E3-1A74-68E1-77630695E9F6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0569" name="Line 118">
          <a:extLst>
            <a:ext uri="{FF2B5EF4-FFF2-40B4-BE49-F238E27FC236}">
              <a16:creationId xmlns:a16="http://schemas.microsoft.com/office/drawing/2014/main" id="{A5F2458E-CDC8-27A2-4D3F-BBD258F51DAF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0" name="Line 119">
          <a:extLst>
            <a:ext uri="{FF2B5EF4-FFF2-40B4-BE49-F238E27FC236}">
              <a16:creationId xmlns:a16="http://schemas.microsoft.com/office/drawing/2014/main" id="{99B7E1C1-639B-60C1-04FF-1C49CD47167C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1" name="Line 120">
          <a:extLst>
            <a:ext uri="{FF2B5EF4-FFF2-40B4-BE49-F238E27FC236}">
              <a16:creationId xmlns:a16="http://schemas.microsoft.com/office/drawing/2014/main" id="{CE35DDEA-8A5C-BD5F-07E1-16AA7FE9FD4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2" name="Line 121">
          <a:extLst>
            <a:ext uri="{FF2B5EF4-FFF2-40B4-BE49-F238E27FC236}">
              <a16:creationId xmlns:a16="http://schemas.microsoft.com/office/drawing/2014/main" id="{85D7E37A-AC8D-8DD7-5453-A131B8A41A4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0573" name="Line 122">
          <a:extLst>
            <a:ext uri="{FF2B5EF4-FFF2-40B4-BE49-F238E27FC236}">
              <a16:creationId xmlns:a16="http://schemas.microsoft.com/office/drawing/2014/main" id="{32C170DB-0BD8-2EC5-9F11-41711CCE5D0B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0574" name="Line 123">
          <a:extLst>
            <a:ext uri="{FF2B5EF4-FFF2-40B4-BE49-F238E27FC236}">
              <a16:creationId xmlns:a16="http://schemas.microsoft.com/office/drawing/2014/main" id="{EC08DD92-01A5-A7B1-6157-739397768FD0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0575" name="Line 124">
          <a:extLst>
            <a:ext uri="{FF2B5EF4-FFF2-40B4-BE49-F238E27FC236}">
              <a16:creationId xmlns:a16="http://schemas.microsoft.com/office/drawing/2014/main" id="{34B12FC0-2D27-C977-1DD2-730654D25E3A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0576" name="Line 125">
          <a:extLst>
            <a:ext uri="{FF2B5EF4-FFF2-40B4-BE49-F238E27FC236}">
              <a16:creationId xmlns:a16="http://schemas.microsoft.com/office/drawing/2014/main" id="{D22A7E3A-E24D-22A2-68FE-6CE4D4AE7274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0577" name="Line 126">
          <a:extLst>
            <a:ext uri="{FF2B5EF4-FFF2-40B4-BE49-F238E27FC236}">
              <a16:creationId xmlns:a16="http://schemas.microsoft.com/office/drawing/2014/main" id="{49D0834A-7B0D-9CD1-7889-585DCDABB261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0578" name="Group 127">
          <a:extLst>
            <a:ext uri="{FF2B5EF4-FFF2-40B4-BE49-F238E27FC236}">
              <a16:creationId xmlns:a16="http://schemas.microsoft.com/office/drawing/2014/main" id="{E92959F8-3CF1-8480-88AC-FB5C4A8B7EA5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0646" name="Oval 128">
            <a:extLst>
              <a:ext uri="{FF2B5EF4-FFF2-40B4-BE49-F238E27FC236}">
                <a16:creationId xmlns:a16="http://schemas.microsoft.com/office/drawing/2014/main" id="{DBFCD5C4-B6E8-010A-5A06-3881FAEBBFD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7" name="Line 129">
            <a:extLst>
              <a:ext uri="{FF2B5EF4-FFF2-40B4-BE49-F238E27FC236}">
                <a16:creationId xmlns:a16="http://schemas.microsoft.com/office/drawing/2014/main" id="{4365A42E-2245-F316-6582-EC136D0930F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0579" name="Group 130">
          <a:extLst>
            <a:ext uri="{FF2B5EF4-FFF2-40B4-BE49-F238E27FC236}">
              <a16:creationId xmlns:a16="http://schemas.microsoft.com/office/drawing/2014/main" id="{C6D3D17E-176A-8B4D-842B-5F4772D6B4BC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70644" name="Oval 131">
            <a:extLst>
              <a:ext uri="{FF2B5EF4-FFF2-40B4-BE49-F238E27FC236}">
                <a16:creationId xmlns:a16="http://schemas.microsoft.com/office/drawing/2014/main" id="{BF2DA48E-641D-2D61-1209-52B489D7929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5" name="Line 132">
            <a:extLst>
              <a:ext uri="{FF2B5EF4-FFF2-40B4-BE49-F238E27FC236}">
                <a16:creationId xmlns:a16="http://schemas.microsoft.com/office/drawing/2014/main" id="{E58BCA46-7138-5034-BD46-753B8DF1CB5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0580" name="Group 133">
          <a:extLst>
            <a:ext uri="{FF2B5EF4-FFF2-40B4-BE49-F238E27FC236}">
              <a16:creationId xmlns:a16="http://schemas.microsoft.com/office/drawing/2014/main" id="{D1E6D391-978F-DE2A-3CEF-9DA1ED5DC9E6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0642" name="Oval 134">
            <a:extLst>
              <a:ext uri="{FF2B5EF4-FFF2-40B4-BE49-F238E27FC236}">
                <a16:creationId xmlns:a16="http://schemas.microsoft.com/office/drawing/2014/main" id="{890F3C0B-2F3E-DBB7-C4E6-14FD789D639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3" name="Line 135">
            <a:extLst>
              <a:ext uri="{FF2B5EF4-FFF2-40B4-BE49-F238E27FC236}">
                <a16:creationId xmlns:a16="http://schemas.microsoft.com/office/drawing/2014/main" id="{D098BE40-2CCE-73D4-4D5C-5AE0788279D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0581" name="Group 136">
          <a:extLst>
            <a:ext uri="{FF2B5EF4-FFF2-40B4-BE49-F238E27FC236}">
              <a16:creationId xmlns:a16="http://schemas.microsoft.com/office/drawing/2014/main" id="{AD97B434-13C4-16F3-D444-775023461200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0640" name="Oval 137">
            <a:extLst>
              <a:ext uri="{FF2B5EF4-FFF2-40B4-BE49-F238E27FC236}">
                <a16:creationId xmlns:a16="http://schemas.microsoft.com/office/drawing/2014/main" id="{A9D10A63-BD95-17F8-5102-1A484D6E25D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1" name="Line 138">
            <a:extLst>
              <a:ext uri="{FF2B5EF4-FFF2-40B4-BE49-F238E27FC236}">
                <a16:creationId xmlns:a16="http://schemas.microsoft.com/office/drawing/2014/main" id="{02BB122B-BAE1-3F6D-ABC9-7CAEC11B590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0582" name="Group 139">
          <a:extLst>
            <a:ext uri="{FF2B5EF4-FFF2-40B4-BE49-F238E27FC236}">
              <a16:creationId xmlns:a16="http://schemas.microsoft.com/office/drawing/2014/main" id="{CC0C229A-4F33-6177-2B9E-AD53DCDF22FB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0638" name="Oval 140">
            <a:extLst>
              <a:ext uri="{FF2B5EF4-FFF2-40B4-BE49-F238E27FC236}">
                <a16:creationId xmlns:a16="http://schemas.microsoft.com/office/drawing/2014/main" id="{A5A42481-C096-3ECA-2F42-F1827610C45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9" name="Line 141">
            <a:extLst>
              <a:ext uri="{FF2B5EF4-FFF2-40B4-BE49-F238E27FC236}">
                <a16:creationId xmlns:a16="http://schemas.microsoft.com/office/drawing/2014/main" id="{C2689550-1534-106D-60EC-C8C14782E45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0583" name="Group 142">
          <a:extLst>
            <a:ext uri="{FF2B5EF4-FFF2-40B4-BE49-F238E27FC236}">
              <a16:creationId xmlns:a16="http://schemas.microsoft.com/office/drawing/2014/main" id="{84160EB0-3808-A89D-7BBC-92C9F9724D08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0636" name="Oval 143">
            <a:extLst>
              <a:ext uri="{FF2B5EF4-FFF2-40B4-BE49-F238E27FC236}">
                <a16:creationId xmlns:a16="http://schemas.microsoft.com/office/drawing/2014/main" id="{4E2A8E1A-2E28-8B70-7D7F-FE5F32F64D0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7" name="Line 144">
            <a:extLst>
              <a:ext uri="{FF2B5EF4-FFF2-40B4-BE49-F238E27FC236}">
                <a16:creationId xmlns:a16="http://schemas.microsoft.com/office/drawing/2014/main" id="{1DDA705A-2668-5FD2-32E8-97D3351441A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0584" name="Group 145">
          <a:extLst>
            <a:ext uri="{FF2B5EF4-FFF2-40B4-BE49-F238E27FC236}">
              <a16:creationId xmlns:a16="http://schemas.microsoft.com/office/drawing/2014/main" id="{5C1764BE-C62B-9A1B-4EF1-5FB1EA568D99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70634" name="Oval 146">
            <a:extLst>
              <a:ext uri="{FF2B5EF4-FFF2-40B4-BE49-F238E27FC236}">
                <a16:creationId xmlns:a16="http://schemas.microsoft.com/office/drawing/2014/main" id="{043C3FFE-7C66-3ED7-3ECD-00D0379A9BF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5" name="Line 147">
            <a:extLst>
              <a:ext uri="{FF2B5EF4-FFF2-40B4-BE49-F238E27FC236}">
                <a16:creationId xmlns:a16="http://schemas.microsoft.com/office/drawing/2014/main" id="{62EAE554-A347-5C51-6BA2-A860441A2E8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7446457D-6F77-6173-615C-111FBA46F615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0586" name="Line 149">
          <a:extLst>
            <a:ext uri="{FF2B5EF4-FFF2-40B4-BE49-F238E27FC236}">
              <a16:creationId xmlns:a16="http://schemas.microsoft.com/office/drawing/2014/main" id="{A672AFCB-EA38-64A0-41EC-2DAB59F7850C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0587" name="Line 150">
          <a:extLst>
            <a:ext uri="{FF2B5EF4-FFF2-40B4-BE49-F238E27FC236}">
              <a16:creationId xmlns:a16="http://schemas.microsoft.com/office/drawing/2014/main" id="{30F7327E-6DCA-6949-0CC5-D7B5FA144850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7A6D174A-C9A7-7E46-231D-C069118D1543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0589" name="Line 153">
          <a:extLst>
            <a:ext uri="{FF2B5EF4-FFF2-40B4-BE49-F238E27FC236}">
              <a16:creationId xmlns:a16="http://schemas.microsoft.com/office/drawing/2014/main" id="{F8681DBE-899D-4DF6-A57D-FB2572D46AE0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0590" name="Line 154">
          <a:extLst>
            <a:ext uri="{FF2B5EF4-FFF2-40B4-BE49-F238E27FC236}">
              <a16:creationId xmlns:a16="http://schemas.microsoft.com/office/drawing/2014/main" id="{FD7E1120-90B1-5E75-146B-0E0988B71007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0591" name="Freeform 155">
          <a:extLst>
            <a:ext uri="{FF2B5EF4-FFF2-40B4-BE49-F238E27FC236}">
              <a16:creationId xmlns:a16="http://schemas.microsoft.com/office/drawing/2014/main" id="{2A4CBB3F-9E5A-5020-16C7-0CA00E936496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0592" name="Line 156">
          <a:extLst>
            <a:ext uri="{FF2B5EF4-FFF2-40B4-BE49-F238E27FC236}">
              <a16:creationId xmlns:a16="http://schemas.microsoft.com/office/drawing/2014/main" id="{B24F45E8-6E88-65F5-AB8F-0F57232A6339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0593" name="Line 157">
          <a:extLst>
            <a:ext uri="{FF2B5EF4-FFF2-40B4-BE49-F238E27FC236}">
              <a16:creationId xmlns:a16="http://schemas.microsoft.com/office/drawing/2014/main" id="{E4EDAF45-A1D0-4E91-836D-4B82FD27A4C5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0594" name="Line 158">
          <a:extLst>
            <a:ext uri="{FF2B5EF4-FFF2-40B4-BE49-F238E27FC236}">
              <a16:creationId xmlns:a16="http://schemas.microsoft.com/office/drawing/2014/main" id="{53FE2DE0-1E76-3CA3-6358-6D8976C3704B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0595" name="Line 160">
          <a:extLst>
            <a:ext uri="{FF2B5EF4-FFF2-40B4-BE49-F238E27FC236}">
              <a16:creationId xmlns:a16="http://schemas.microsoft.com/office/drawing/2014/main" id="{EDF3CD80-1427-CB9B-7E65-2A19C6A82328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0596" name="Line 161">
          <a:extLst>
            <a:ext uri="{FF2B5EF4-FFF2-40B4-BE49-F238E27FC236}">
              <a16:creationId xmlns:a16="http://schemas.microsoft.com/office/drawing/2014/main" id="{F1B7422F-D304-E754-668C-841C1619960A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0597" name="Line 162">
          <a:extLst>
            <a:ext uri="{FF2B5EF4-FFF2-40B4-BE49-F238E27FC236}">
              <a16:creationId xmlns:a16="http://schemas.microsoft.com/office/drawing/2014/main" id="{D521B370-D225-EA10-BEA5-372499A86AFA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0598" name="Line 163">
          <a:extLst>
            <a:ext uri="{FF2B5EF4-FFF2-40B4-BE49-F238E27FC236}">
              <a16:creationId xmlns:a16="http://schemas.microsoft.com/office/drawing/2014/main" id="{089AAA2E-C38C-5B57-54DF-36C259F006F2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0599" name="Line 164">
          <a:extLst>
            <a:ext uri="{FF2B5EF4-FFF2-40B4-BE49-F238E27FC236}">
              <a16:creationId xmlns:a16="http://schemas.microsoft.com/office/drawing/2014/main" id="{5E2FF332-8149-3C3E-4FF0-EEAE64178BA8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0600" name="Line 165">
          <a:extLst>
            <a:ext uri="{FF2B5EF4-FFF2-40B4-BE49-F238E27FC236}">
              <a16:creationId xmlns:a16="http://schemas.microsoft.com/office/drawing/2014/main" id="{1F1EF507-38A2-0919-416E-5FA248D09841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B15A870E-A0D3-99E6-2D44-6D11F947A3E4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83B8D23E-F8DE-1923-6C41-53D22C198966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0603" name="Line 2509">
          <a:extLst>
            <a:ext uri="{FF2B5EF4-FFF2-40B4-BE49-F238E27FC236}">
              <a16:creationId xmlns:a16="http://schemas.microsoft.com/office/drawing/2014/main" id="{6939913A-0C9A-00D2-62D1-2C62FF798ED0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3D47537B-8E5F-833A-CDCF-9EB834622266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5D399617-25AD-4E2E-4229-B1B7C176016D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0606" name="Group 183">
          <a:extLst>
            <a:ext uri="{FF2B5EF4-FFF2-40B4-BE49-F238E27FC236}">
              <a16:creationId xmlns:a16="http://schemas.microsoft.com/office/drawing/2014/main" id="{64EE278E-5195-25F3-3F41-45F9B30234BB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94FA3045-4E94-14B9-9D29-71043D31DF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0626" name="Line 2507">
            <a:extLst>
              <a:ext uri="{FF2B5EF4-FFF2-40B4-BE49-F238E27FC236}">
                <a16:creationId xmlns:a16="http://schemas.microsoft.com/office/drawing/2014/main" id="{9742C1DE-B289-580B-35EF-CF40A34701F2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603DECAF-1D4B-5E4D-C383-664375FABE38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CF88DDD6-B15B-F3AD-97E4-249BCCAD5E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C7B18A56-C3FF-7E02-943F-57FC169E98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98221650-641D-5DB0-3CD2-5124E42E20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4F5D243-B9E1-07EA-6A02-FB1797BF73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0632" name="Line 2515">
            <a:extLst>
              <a:ext uri="{FF2B5EF4-FFF2-40B4-BE49-F238E27FC236}">
                <a16:creationId xmlns:a16="http://schemas.microsoft.com/office/drawing/2014/main" id="{C7ABA52B-FC90-2713-45E1-0BCB3591AEF0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B9C9C4A5-9ADC-E40D-FB09-33B9CA38DC73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4309961C-7463-1226-BC47-007AE219CC34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983DBF09-A59B-C4BA-92BE-555C7C0C58B7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4A9E0780-5A32-0632-C128-BF7ACD12BFDC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C3C77083-1359-6ECA-F700-6C17A3A5DA52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C2F0FC6A-E069-551E-A4F3-B8CECA137FBE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D7B03407-B8C6-3CC5-C98A-EB9BA8486E9D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0613" name="Line 2515">
          <a:extLst>
            <a:ext uri="{FF2B5EF4-FFF2-40B4-BE49-F238E27FC236}">
              <a16:creationId xmlns:a16="http://schemas.microsoft.com/office/drawing/2014/main" id="{1A79BE8E-4989-DF4D-AB0B-2F94C356C63E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5F7CDADD-1DDE-9E1D-97C8-B7FDC50375A5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7CB1C1B-DFB2-4B73-96A0-202CA8D83F46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E16E66A3-F44C-6242-18BB-BD83C4D47E24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4D846D83-92FC-D63C-5A81-52556F1B8829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C3DEF720-E120-5412-0B1D-DF3042E89EE7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CD8028B2-5721-98A4-A3AF-FCE5CDB1AE47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C311CFF9-2DB9-A603-B779-137A779665AD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D0DA33B5-019C-4FF0-84C3-4F04EC8B62F2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1101A657-90DB-D349-FE2E-A17783A0DBA9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BF770D59-0802-5E69-68EF-03376062A4DD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3D7C7137-B9E3-3995-3795-B75BA828580D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1476" name="Rectangle 1">
          <a:extLst>
            <a:ext uri="{FF2B5EF4-FFF2-40B4-BE49-F238E27FC236}">
              <a16:creationId xmlns:a16="http://schemas.microsoft.com/office/drawing/2014/main" id="{B417EEE3-B92E-4A4F-3976-8FC6A5DB39E9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1477" name="Line 2">
          <a:extLst>
            <a:ext uri="{FF2B5EF4-FFF2-40B4-BE49-F238E27FC236}">
              <a16:creationId xmlns:a16="http://schemas.microsoft.com/office/drawing/2014/main" id="{5D8A031B-5244-0017-D0F8-B45B632581CF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1478" name="Line 3">
          <a:extLst>
            <a:ext uri="{FF2B5EF4-FFF2-40B4-BE49-F238E27FC236}">
              <a16:creationId xmlns:a16="http://schemas.microsoft.com/office/drawing/2014/main" id="{94D328F6-D1BC-743A-75AC-201AE56AB87F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79" name="Line 4">
          <a:extLst>
            <a:ext uri="{FF2B5EF4-FFF2-40B4-BE49-F238E27FC236}">
              <a16:creationId xmlns:a16="http://schemas.microsoft.com/office/drawing/2014/main" id="{3178786C-E7E1-E4F2-CD9C-A05CB41E1A8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0" name="Line 5">
          <a:extLst>
            <a:ext uri="{FF2B5EF4-FFF2-40B4-BE49-F238E27FC236}">
              <a16:creationId xmlns:a16="http://schemas.microsoft.com/office/drawing/2014/main" id="{CE5BB5EC-C7E5-6E4A-456E-286F0C421A1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1" name="Line 6">
          <a:extLst>
            <a:ext uri="{FF2B5EF4-FFF2-40B4-BE49-F238E27FC236}">
              <a16:creationId xmlns:a16="http://schemas.microsoft.com/office/drawing/2014/main" id="{DB01F94E-34E5-6ADB-9323-BDAB8A59A6E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2" name="Line 7">
          <a:extLst>
            <a:ext uri="{FF2B5EF4-FFF2-40B4-BE49-F238E27FC236}">
              <a16:creationId xmlns:a16="http://schemas.microsoft.com/office/drawing/2014/main" id="{BB00A8B1-5AAF-6CEE-3C03-B7E22683CD9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3" name="Line 8">
          <a:extLst>
            <a:ext uri="{FF2B5EF4-FFF2-40B4-BE49-F238E27FC236}">
              <a16:creationId xmlns:a16="http://schemas.microsoft.com/office/drawing/2014/main" id="{E62CB6C3-1A3B-33CC-781B-8F083F0EA2E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4" name="Line 9">
          <a:extLst>
            <a:ext uri="{FF2B5EF4-FFF2-40B4-BE49-F238E27FC236}">
              <a16:creationId xmlns:a16="http://schemas.microsoft.com/office/drawing/2014/main" id="{7089FFC2-D4DE-A408-AA97-D14D199263A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5" name="Line 10">
          <a:extLst>
            <a:ext uri="{FF2B5EF4-FFF2-40B4-BE49-F238E27FC236}">
              <a16:creationId xmlns:a16="http://schemas.microsoft.com/office/drawing/2014/main" id="{E9984B71-E136-DB43-49B1-30D96D6C0B8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6" name="Line 11">
          <a:extLst>
            <a:ext uri="{FF2B5EF4-FFF2-40B4-BE49-F238E27FC236}">
              <a16:creationId xmlns:a16="http://schemas.microsoft.com/office/drawing/2014/main" id="{071FF9B5-99E9-EC9D-3851-D9F1A937D5E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7" name="Line 12">
          <a:extLst>
            <a:ext uri="{FF2B5EF4-FFF2-40B4-BE49-F238E27FC236}">
              <a16:creationId xmlns:a16="http://schemas.microsoft.com/office/drawing/2014/main" id="{299ED0D7-CD59-F97C-D47B-49A0A71BCD8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8" name="Line 13">
          <a:extLst>
            <a:ext uri="{FF2B5EF4-FFF2-40B4-BE49-F238E27FC236}">
              <a16:creationId xmlns:a16="http://schemas.microsoft.com/office/drawing/2014/main" id="{C8830D76-72F3-15D6-179D-276F669CE1A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1489" name="Line 14">
          <a:extLst>
            <a:ext uri="{FF2B5EF4-FFF2-40B4-BE49-F238E27FC236}">
              <a16:creationId xmlns:a16="http://schemas.microsoft.com/office/drawing/2014/main" id="{374F3618-8D29-F897-D25E-41A09F5785D8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1490" name="Line 15">
          <a:extLst>
            <a:ext uri="{FF2B5EF4-FFF2-40B4-BE49-F238E27FC236}">
              <a16:creationId xmlns:a16="http://schemas.microsoft.com/office/drawing/2014/main" id="{F4CA3A13-F4E1-CBB5-F87A-DBC588A04B2C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91" name="Line 16">
          <a:extLst>
            <a:ext uri="{FF2B5EF4-FFF2-40B4-BE49-F238E27FC236}">
              <a16:creationId xmlns:a16="http://schemas.microsoft.com/office/drawing/2014/main" id="{52CF005F-7632-1ABC-50C8-68E04971BCB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1492" name="Line 17">
          <a:extLst>
            <a:ext uri="{FF2B5EF4-FFF2-40B4-BE49-F238E27FC236}">
              <a16:creationId xmlns:a16="http://schemas.microsoft.com/office/drawing/2014/main" id="{9E98B7FF-3B02-1ACD-1BC9-5072009814E2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1493" name="Line 18">
          <a:extLst>
            <a:ext uri="{FF2B5EF4-FFF2-40B4-BE49-F238E27FC236}">
              <a16:creationId xmlns:a16="http://schemas.microsoft.com/office/drawing/2014/main" id="{9F5CD010-72CB-C1E8-8CC1-ED663745B872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4" name="Line 19">
          <a:extLst>
            <a:ext uri="{FF2B5EF4-FFF2-40B4-BE49-F238E27FC236}">
              <a16:creationId xmlns:a16="http://schemas.microsoft.com/office/drawing/2014/main" id="{09E08719-F6E3-7E4D-AEDA-213B5C87C9CB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5" name="Line 20">
          <a:extLst>
            <a:ext uri="{FF2B5EF4-FFF2-40B4-BE49-F238E27FC236}">
              <a16:creationId xmlns:a16="http://schemas.microsoft.com/office/drawing/2014/main" id="{0674D34D-36D3-0D8D-960D-305A11C0EA26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496" name="Line 21">
          <a:extLst>
            <a:ext uri="{FF2B5EF4-FFF2-40B4-BE49-F238E27FC236}">
              <a16:creationId xmlns:a16="http://schemas.microsoft.com/office/drawing/2014/main" id="{44745A7A-F55E-F8F9-ADCD-9B39E49E7A91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497" name="Line 22">
          <a:extLst>
            <a:ext uri="{FF2B5EF4-FFF2-40B4-BE49-F238E27FC236}">
              <a16:creationId xmlns:a16="http://schemas.microsoft.com/office/drawing/2014/main" id="{F182328E-560C-E4D5-DA49-00DE3464E42A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8" name="Line 23">
          <a:extLst>
            <a:ext uri="{FF2B5EF4-FFF2-40B4-BE49-F238E27FC236}">
              <a16:creationId xmlns:a16="http://schemas.microsoft.com/office/drawing/2014/main" id="{3CDF383D-AB95-5CEC-0102-AB76F237BA4A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9" name="Line 24">
          <a:extLst>
            <a:ext uri="{FF2B5EF4-FFF2-40B4-BE49-F238E27FC236}">
              <a16:creationId xmlns:a16="http://schemas.microsoft.com/office/drawing/2014/main" id="{0AD6D598-BA3A-48E2-1AFC-4A14BD588CDF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500" name="Line 25">
          <a:extLst>
            <a:ext uri="{FF2B5EF4-FFF2-40B4-BE49-F238E27FC236}">
              <a16:creationId xmlns:a16="http://schemas.microsoft.com/office/drawing/2014/main" id="{13136328-F35E-AAE5-BC6B-5AE613C72976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6418E009-CEA3-83D6-C93D-FC877444B2DC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1502" name="Line 27">
          <a:extLst>
            <a:ext uri="{FF2B5EF4-FFF2-40B4-BE49-F238E27FC236}">
              <a16:creationId xmlns:a16="http://schemas.microsoft.com/office/drawing/2014/main" id="{369F9DE2-D0A7-BFEB-8401-6CF5C6DBADE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1503" name="Line 28">
          <a:extLst>
            <a:ext uri="{FF2B5EF4-FFF2-40B4-BE49-F238E27FC236}">
              <a16:creationId xmlns:a16="http://schemas.microsoft.com/office/drawing/2014/main" id="{6F8F9E5D-6828-706F-ADFB-C192510DB02A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3A590DE8-E06B-B923-5CCB-677C1CFFA0ED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5" name="Line 30">
          <a:extLst>
            <a:ext uri="{FF2B5EF4-FFF2-40B4-BE49-F238E27FC236}">
              <a16:creationId xmlns:a16="http://schemas.microsoft.com/office/drawing/2014/main" id="{55F1C2AF-16A9-D530-DFA5-8373293977A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6" name="Line 31">
          <a:extLst>
            <a:ext uri="{FF2B5EF4-FFF2-40B4-BE49-F238E27FC236}">
              <a16:creationId xmlns:a16="http://schemas.microsoft.com/office/drawing/2014/main" id="{E0052459-F26E-142A-059C-B188FF828B2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7" name="Line 32">
          <a:extLst>
            <a:ext uri="{FF2B5EF4-FFF2-40B4-BE49-F238E27FC236}">
              <a16:creationId xmlns:a16="http://schemas.microsoft.com/office/drawing/2014/main" id="{7C73622B-E14B-7AAE-6044-B89339C0971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8" name="Line 33">
          <a:extLst>
            <a:ext uri="{FF2B5EF4-FFF2-40B4-BE49-F238E27FC236}">
              <a16:creationId xmlns:a16="http://schemas.microsoft.com/office/drawing/2014/main" id="{08F9CFFE-77C5-189A-C9BB-7C8C85423F3E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1509" name="Rectangle 34">
          <a:extLst>
            <a:ext uri="{FF2B5EF4-FFF2-40B4-BE49-F238E27FC236}">
              <a16:creationId xmlns:a16="http://schemas.microsoft.com/office/drawing/2014/main" id="{697FC9D2-D3CE-7260-BD5D-AEE4BF3DFFD2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1510" name="Line 35">
          <a:extLst>
            <a:ext uri="{FF2B5EF4-FFF2-40B4-BE49-F238E27FC236}">
              <a16:creationId xmlns:a16="http://schemas.microsoft.com/office/drawing/2014/main" id="{9981F3DF-CA36-7673-6EB1-12CEC4F6236E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1511" name="Line 36">
          <a:extLst>
            <a:ext uri="{FF2B5EF4-FFF2-40B4-BE49-F238E27FC236}">
              <a16:creationId xmlns:a16="http://schemas.microsoft.com/office/drawing/2014/main" id="{710DDC57-3198-49CD-4A15-DF559D7C20CF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2" name="Line 37">
          <a:extLst>
            <a:ext uri="{FF2B5EF4-FFF2-40B4-BE49-F238E27FC236}">
              <a16:creationId xmlns:a16="http://schemas.microsoft.com/office/drawing/2014/main" id="{8166658E-1B00-AA5E-B5F1-7BD303CB4D0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3" name="Line 38">
          <a:extLst>
            <a:ext uri="{FF2B5EF4-FFF2-40B4-BE49-F238E27FC236}">
              <a16:creationId xmlns:a16="http://schemas.microsoft.com/office/drawing/2014/main" id="{C6ACE5AE-82D1-86F1-BB55-B8427392006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4" name="Line 39">
          <a:extLst>
            <a:ext uri="{FF2B5EF4-FFF2-40B4-BE49-F238E27FC236}">
              <a16:creationId xmlns:a16="http://schemas.microsoft.com/office/drawing/2014/main" id="{8350984E-84F4-8D49-4DD1-B7A915220EF1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5" name="Line 40">
          <a:extLst>
            <a:ext uri="{FF2B5EF4-FFF2-40B4-BE49-F238E27FC236}">
              <a16:creationId xmlns:a16="http://schemas.microsoft.com/office/drawing/2014/main" id="{2D66DC22-08B4-B278-5784-A1B99FE7150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6" name="Line 41">
          <a:extLst>
            <a:ext uri="{FF2B5EF4-FFF2-40B4-BE49-F238E27FC236}">
              <a16:creationId xmlns:a16="http://schemas.microsoft.com/office/drawing/2014/main" id="{8E82574F-7F0B-D771-E4C8-96CB163FB58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7" name="Line 42">
          <a:extLst>
            <a:ext uri="{FF2B5EF4-FFF2-40B4-BE49-F238E27FC236}">
              <a16:creationId xmlns:a16="http://schemas.microsoft.com/office/drawing/2014/main" id="{82728512-625C-102B-736E-6FCBB1C8F69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8" name="Line 43">
          <a:extLst>
            <a:ext uri="{FF2B5EF4-FFF2-40B4-BE49-F238E27FC236}">
              <a16:creationId xmlns:a16="http://schemas.microsoft.com/office/drawing/2014/main" id="{5A3784F9-B520-45C3-6154-B0A67F3ADE2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9" name="Line 44">
          <a:extLst>
            <a:ext uri="{FF2B5EF4-FFF2-40B4-BE49-F238E27FC236}">
              <a16:creationId xmlns:a16="http://schemas.microsoft.com/office/drawing/2014/main" id="{0E6B86C9-4BEE-C9BF-3B2F-56924746739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20" name="Line 45">
          <a:extLst>
            <a:ext uri="{FF2B5EF4-FFF2-40B4-BE49-F238E27FC236}">
              <a16:creationId xmlns:a16="http://schemas.microsoft.com/office/drawing/2014/main" id="{1CE128CB-8F1D-23AA-74F9-2DD54D9F762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21" name="Line 46">
          <a:extLst>
            <a:ext uri="{FF2B5EF4-FFF2-40B4-BE49-F238E27FC236}">
              <a16:creationId xmlns:a16="http://schemas.microsoft.com/office/drawing/2014/main" id="{FCB93925-50AB-D126-76C2-1FE720F2E84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1522" name="Line 47">
          <a:extLst>
            <a:ext uri="{FF2B5EF4-FFF2-40B4-BE49-F238E27FC236}">
              <a16:creationId xmlns:a16="http://schemas.microsoft.com/office/drawing/2014/main" id="{01C533E8-054F-BD5D-BA67-BBE154B70D0D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1523" name="Line 48">
          <a:extLst>
            <a:ext uri="{FF2B5EF4-FFF2-40B4-BE49-F238E27FC236}">
              <a16:creationId xmlns:a16="http://schemas.microsoft.com/office/drawing/2014/main" id="{A6C712EE-A864-A75B-59F0-C2E3881A6722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24" name="Line 49">
          <a:extLst>
            <a:ext uri="{FF2B5EF4-FFF2-40B4-BE49-F238E27FC236}">
              <a16:creationId xmlns:a16="http://schemas.microsoft.com/office/drawing/2014/main" id="{C1DBEE9C-2161-A05C-FFEB-8224359CA66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1525" name="Line 50">
          <a:extLst>
            <a:ext uri="{FF2B5EF4-FFF2-40B4-BE49-F238E27FC236}">
              <a16:creationId xmlns:a16="http://schemas.microsoft.com/office/drawing/2014/main" id="{C3559C75-70B5-7F86-ACD9-42A120895585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1526" name="Line 51">
          <a:extLst>
            <a:ext uri="{FF2B5EF4-FFF2-40B4-BE49-F238E27FC236}">
              <a16:creationId xmlns:a16="http://schemas.microsoft.com/office/drawing/2014/main" id="{99449FD6-C8EA-3E56-83E4-C5C9B7DDC4FD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527" name="Line 52">
          <a:extLst>
            <a:ext uri="{FF2B5EF4-FFF2-40B4-BE49-F238E27FC236}">
              <a16:creationId xmlns:a16="http://schemas.microsoft.com/office/drawing/2014/main" id="{8360B36C-C29A-C9D5-E3D2-B69722D7138E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28" name="Line 53">
          <a:extLst>
            <a:ext uri="{FF2B5EF4-FFF2-40B4-BE49-F238E27FC236}">
              <a16:creationId xmlns:a16="http://schemas.microsoft.com/office/drawing/2014/main" id="{FD843D27-B8AA-3EAF-6819-7DFCF9B13881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29" name="Line 54">
          <a:extLst>
            <a:ext uri="{FF2B5EF4-FFF2-40B4-BE49-F238E27FC236}">
              <a16:creationId xmlns:a16="http://schemas.microsoft.com/office/drawing/2014/main" id="{E98B46B7-0B0C-E364-BC29-F80FD5192FC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1530" name="Line 55">
          <a:extLst>
            <a:ext uri="{FF2B5EF4-FFF2-40B4-BE49-F238E27FC236}">
              <a16:creationId xmlns:a16="http://schemas.microsoft.com/office/drawing/2014/main" id="{CCB104A7-9887-8940-C5D9-B2ACAB46A1B9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BE4C469-131D-9C2F-6E1A-F97A250DCDEC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054FF7D5-3903-1723-620F-BF0F7B66BC62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5B10B6DA-837A-D8D3-A5BD-E62EAEA864E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B6A4B328-FA04-4890-724E-D14D61DD70CB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34EFC9C9-9919-79EF-87FA-8991C5F9C4E8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BAAF866F-9A88-19FB-4F8B-AA6E81E475DA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1537" name="Line 62">
          <a:extLst>
            <a:ext uri="{FF2B5EF4-FFF2-40B4-BE49-F238E27FC236}">
              <a16:creationId xmlns:a16="http://schemas.microsoft.com/office/drawing/2014/main" id="{60EBE9D4-D2B8-00B2-68E1-BF90CE964C41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1538" name="Line 63">
          <a:extLst>
            <a:ext uri="{FF2B5EF4-FFF2-40B4-BE49-F238E27FC236}">
              <a16:creationId xmlns:a16="http://schemas.microsoft.com/office/drawing/2014/main" id="{06E537BC-0820-2979-A6E1-41718EBEC44B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1539" name="Line 64">
          <a:extLst>
            <a:ext uri="{FF2B5EF4-FFF2-40B4-BE49-F238E27FC236}">
              <a16:creationId xmlns:a16="http://schemas.microsoft.com/office/drawing/2014/main" id="{52E02D4D-24EF-BD5D-8B4B-D5C289D2DCDC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71540" name="Line 65">
          <a:extLst>
            <a:ext uri="{FF2B5EF4-FFF2-40B4-BE49-F238E27FC236}">
              <a16:creationId xmlns:a16="http://schemas.microsoft.com/office/drawing/2014/main" id="{9639F02F-B89C-C637-0DAB-172716498629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71541" name="Line 66">
          <a:extLst>
            <a:ext uri="{FF2B5EF4-FFF2-40B4-BE49-F238E27FC236}">
              <a16:creationId xmlns:a16="http://schemas.microsoft.com/office/drawing/2014/main" id="{7B384F24-463D-E7B5-9C4A-C2574EAF0AEF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1542" name="Line 67">
          <a:extLst>
            <a:ext uri="{FF2B5EF4-FFF2-40B4-BE49-F238E27FC236}">
              <a16:creationId xmlns:a16="http://schemas.microsoft.com/office/drawing/2014/main" id="{8DD92A36-6F7E-3F93-FFE2-C9AD52761FF4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083ED28B-8D13-430E-CF2F-9300E1389216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1544" name="Line 69">
          <a:extLst>
            <a:ext uri="{FF2B5EF4-FFF2-40B4-BE49-F238E27FC236}">
              <a16:creationId xmlns:a16="http://schemas.microsoft.com/office/drawing/2014/main" id="{238F34B0-7A35-9BD2-8505-ABA3FE2F6AD3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0CD33812-7017-B39E-81D9-96160B85540A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1546" name="Line 71">
          <a:extLst>
            <a:ext uri="{FF2B5EF4-FFF2-40B4-BE49-F238E27FC236}">
              <a16:creationId xmlns:a16="http://schemas.microsoft.com/office/drawing/2014/main" id="{8B1946EE-73F2-E476-07B3-409AF32309F4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1547" name="Line 72">
          <a:extLst>
            <a:ext uri="{FF2B5EF4-FFF2-40B4-BE49-F238E27FC236}">
              <a16:creationId xmlns:a16="http://schemas.microsoft.com/office/drawing/2014/main" id="{DBE83E23-DE47-AA36-5BD6-9A5E94598945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1548" name="Line 73">
          <a:extLst>
            <a:ext uri="{FF2B5EF4-FFF2-40B4-BE49-F238E27FC236}">
              <a16:creationId xmlns:a16="http://schemas.microsoft.com/office/drawing/2014/main" id="{4D6CB026-198A-A681-BF8A-AF017E21B278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FC644CC2-F98C-FB2A-1588-F07FB4D80B49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3B028401-EC4D-8494-8A45-E56181AC275E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1C55BA5F-B314-3C3D-F133-F39AD5A5B1DC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EC8C3BD5-9C80-F127-53DA-02917379E6E2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1553" name="Line 78">
          <a:extLst>
            <a:ext uri="{FF2B5EF4-FFF2-40B4-BE49-F238E27FC236}">
              <a16:creationId xmlns:a16="http://schemas.microsoft.com/office/drawing/2014/main" id="{7A984E22-0B1B-A0E0-D5D4-A123CAF487BB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1554" name="Line 79">
          <a:extLst>
            <a:ext uri="{FF2B5EF4-FFF2-40B4-BE49-F238E27FC236}">
              <a16:creationId xmlns:a16="http://schemas.microsoft.com/office/drawing/2014/main" id="{F36230D8-DEA2-26D9-D632-E221C9D251EE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1555" name="Line 80">
          <a:extLst>
            <a:ext uri="{FF2B5EF4-FFF2-40B4-BE49-F238E27FC236}">
              <a16:creationId xmlns:a16="http://schemas.microsoft.com/office/drawing/2014/main" id="{629451D6-7984-5882-54EA-EEC5111A2032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1556" name="Line 81">
          <a:extLst>
            <a:ext uri="{FF2B5EF4-FFF2-40B4-BE49-F238E27FC236}">
              <a16:creationId xmlns:a16="http://schemas.microsoft.com/office/drawing/2014/main" id="{7A9A7C02-66AF-D079-A40C-233701ABB045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1557" name="Line 82">
          <a:extLst>
            <a:ext uri="{FF2B5EF4-FFF2-40B4-BE49-F238E27FC236}">
              <a16:creationId xmlns:a16="http://schemas.microsoft.com/office/drawing/2014/main" id="{4F15BA86-800A-FBB7-C727-43D0F81A2D16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1558" name="Line 83">
          <a:extLst>
            <a:ext uri="{FF2B5EF4-FFF2-40B4-BE49-F238E27FC236}">
              <a16:creationId xmlns:a16="http://schemas.microsoft.com/office/drawing/2014/main" id="{78810CCE-29A0-2132-F4CA-3ADEA6A858BE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4E80D55A-4D4C-FABB-E9E0-E56B6A576045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1560" name="Line 85">
          <a:extLst>
            <a:ext uri="{FF2B5EF4-FFF2-40B4-BE49-F238E27FC236}">
              <a16:creationId xmlns:a16="http://schemas.microsoft.com/office/drawing/2014/main" id="{ADA19F0F-D10A-3120-11F9-F032CCFB87DC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1561" name="Line 86">
          <a:extLst>
            <a:ext uri="{FF2B5EF4-FFF2-40B4-BE49-F238E27FC236}">
              <a16:creationId xmlns:a16="http://schemas.microsoft.com/office/drawing/2014/main" id="{F7793BEA-5362-F805-F757-CAD864B621DD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D85C6A95-105D-8D9C-B08D-1BD07CAB0D17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1563" name="Line 88">
          <a:extLst>
            <a:ext uri="{FF2B5EF4-FFF2-40B4-BE49-F238E27FC236}">
              <a16:creationId xmlns:a16="http://schemas.microsoft.com/office/drawing/2014/main" id="{6EE51A23-4F93-0F7F-7212-F4B124D04029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1564" name="Line 89">
          <a:extLst>
            <a:ext uri="{FF2B5EF4-FFF2-40B4-BE49-F238E27FC236}">
              <a16:creationId xmlns:a16="http://schemas.microsoft.com/office/drawing/2014/main" id="{3A23B263-5069-04DC-A299-CBEF73AC38F4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1565" name="Line 90">
          <a:extLst>
            <a:ext uri="{FF2B5EF4-FFF2-40B4-BE49-F238E27FC236}">
              <a16:creationId xmlns:a16="http://schemas.microsoft.com/office/drawing/2014/main" id="{E7CCBBFD-0D03-F22A-7730-05396BD5ED84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1566" name="Line 91">
          <a:extLst>
            <a:ext uri="{FF2B5EF4-FFF2-40B4-BE49-F238E27FC236}">
              <a16:creationId xmlns:a16="http://schemas.microsoft.com/office/drawing/2014/main" id="{662D7136-8FE8-D046-1965-C0E8073873B1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1567" name="Line 92">
          <a:extLst>
            <a:ext uri="{FF2B5EF4-FFF2-40B4-BE49-F238E27FC236}">
              <a16:creationId xmlns:a16="http://schemas.microsoft.com/office/drawing/2014/main" id="{80956ECC-BF72-8730-71C9-823F52C8D711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1568" name="AutoShape 93" descr="Stationery">
          <a:extLst>
            <a:ext uri="{FF2B5EF4-FFF2-40B4-BE49-F238E27FC236}">
              <a16:creationId xmlns:a16="http://schemas.microsoft.com/office/drawing/2014/main" id="{24CDB33A-EEA1-35E5-5F23-606B40EFEE3E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1569" name="Line 94">
          <a:extLst>
            <a:ext uri="{FF2B5EF4-FFF2-40B4-BE49-F238E27FC236}">
              <a16:creationId xmlns:a16="http://schemas.microsoft.com/office/drawing/2014/main" id="{966C64A0-625E-57CF-3D40-293A5BC0FF30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1570" name="Line 95">
          <a:extLst>
            <a:ext uri="{FF2B5EF4-FFF2-40B4-BE49-F238E27FC236}">
              <a16:creationId xmlns:a16="http://schemas.microsoft.com/office/drawing/2014/main" id="{2E6BDBDA-75CA-2037-9CD1-87E775EFD9CE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E5256E52-F98B-6ED3-19D8-0BDD43588EDE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9A1549E7-6DA0-E20E-B11A-BD76AF08EDF1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1573" name="Line 98">
          <a:extLst>
            <a:ext uri="{FF2B5EF4-FFF2-40B4-BE49-F238E27FC236}">
              <a16:creationId xmlns:a16="http://schemas.microsoft.com/office/drawing/2014/main" id="{60023968-96E3-74C3-4D34-DFAC36605764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1574" name="Line 99">
          <a:extLst>
            <a:ext uri="{FF2B5EF4-FFF2-40B4-BE49-F238E27FC236}">
              <a16:creationId xmlns:a16="http://schemas.microsoft.com/office/drawing/2014/main" id="{FBFAE791-21D6-A31D-F8A9-7B7DB02E669C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1575" name="Line 100">
          <a:extLst>
            <a:ext uri="{FF2B5EF4-FFF2-40B4-BE49-F238E27FC236}">
              <a16:creationId xmlns:a16="http://schemas.microsoft.com/office/drawing/2014/main" id="{A9187730-DBEE-BB51-1C07-3094B35F1DF6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1576" name="Line 101">
          <a:extLst>
            <a:ext uri="{FF2B5EF4-FFF2-40B4-BE49-F238E27FC236}">
              <a16:creationId xmlns:a16="http://schemas.microsoft.com/office/drawing/2014/main" id="{BE68BD24-418E-A940-BCF2-A3AC7164A47C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77" name="Line 102">
          <a:extLst>
            <a:ext uri="{FF2B5EF4-FFF2-40B4-BE49-F238E27FC236}">
              <a16:creationId xmlns:a16="http://schemas.microsoft.com/office/drawing/2014/main" id="{F310FDAA-3D51-D169-3279-2CC8EA5384C4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E3C3D50E-D82A-FECB-F416-5924478D8F15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1579" name="Line 104">
          <a:extLst>
            <a:ext uri="{FF2B5EF4-FFF2-40B4-BE49-F238E27FC236}">
              <a16:creationId xmlns:a16="http://schemas.microsoft.com/office/drawing/2014/main" id="{6260BD8D-6E24-083A-4AA1-2491D394BA75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B220C6C9-D49C-9B7A-D68C-2CEDD9D2CD04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1581" name="Line 106">
          <a:extLst>
            <a:ext uri="{FF2B5EF4-FFF2-40B4-BE49-F238E27FC236}">
              <a16:creationId xmlns:a16="http://schemas.microsoft.com/office/drawing/2014/main" id="{E5BF2D5A-EC2E-6D89-CB68-AA899F72549D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110FE99E-1E10-4FDA-55E7-F3310E49B0C4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1583" name="Freeform 108">
          <a:extLst>
            <a:ext uri="{FF2B5EF4-FFF2-40B4-BE49-F238E27FC236}">
              <a16:creationId xmlns:a16="http://schemas.microsoft.com/office/drawing/2014/main" id="{DDE9D8D6-3D35-A25B-607D-52FAE3BD2CFC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1584" name="Line 109">
          <a:extLst>
            <a:ext uri="{FF2B5EF4-FFF2-40B4-BE49-F238E27FC236}">
              <a16:creationId xmlns:a16="http://schemas.microsoft.com/office/drawing/2014/main" id="{30786894-73EA-67FF-B0B4-DC016917E454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1585" name="Line 110">
          <a:extLst>
            <a:ext uri="{FF2B5EF4-FFF2-40B4-BE49-F238E27FC236}">
              <a16:creationId xmlns:a16="http://schemas.microsoft.com/office/drawing/2014/main" id="{9E039B30-6EC1-A8AB-C64C-1F5317734A10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1586" name="Line 111">
          <a:extLst>
            <a:ext uri="{FF2B5EF4-FFF2-40B4-BE49-F238E27FC236}">
              <a16:creationId xmlns:a16="http://schemas.microsoft.com/office/drawing/2014/main" id="{9C654D9C-5054-C769-8742-642B4D7D3900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1587" name="Line 112">
          <a:extLst>
            <a:ext uri="{FF2B5EF4-FFF2-40B4-BE49-F238E27FC236}">
              <a16:creationId xmlns:a16="http://schemas.microsoft.com/office/drawing/2014/main" id="{4ACAF88F-0496-2D20-BC44-5672A070E171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1588" name="Line 113">
          <a:extLst>
            <a:ext uri="{FF2B5EF4-FFF2-40B4-BE49-F238E27FC236}">
              <a16:creationId xmlns:a16="http://schemas.microsoft.com/office/drawing/2014/main" id="{089C00B9-D19D-FC24-46CC-62201EC9ECA6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1589" name="Line 114">
          <a:extLst>
            <a:ext uri="{FF2B5EF4-FFF2-40B4-BE49-F238E27FC236}">
              <a16:creationId xmlns:a16="http://schemas.microsoft.com/office/drawing/2014/main" id="{136F3C74-D105-2306-4949-4C5CB00C3615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1590" name="Line 115">
          <a:extLst>
            <a:ext uri="{FF2B5EF4-FFF2-40B4-BE49-F238E27FC236}">
              <a16:creationId xmlns:a16="http://schemas.microsoft.com/office/drawing/2014/main" id="{1544326E-154D-C8EE-97D0-95D0FC8151AD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1591" name="Line 116">
          <a:extLst>
            <a:ext uri="{FF2B5EF4-FFF2-40B4-BE49-F238E27FC236}">
              <a16:creationId xmlns:a16="http://schemas.microsoft.com/office/drawing/2014/main" id="{CD021DEB-C229-D4E0-8063-BCB0818DCA98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1592" name="Line 117">
          <a:extLst>
            <a:ext uri="{FF2B5EF4-FFF2-40B4-BE49-F238E27FC236}">
              <a16:creationId xmlns:a16="http://schemas.microsoft.com/office/drawing/2014/main" id="{9B51CEB5-FCEB-E55A-A394-68B64DA32741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1593" name="Line 118">
          <a:extLst>
            <a:ext uri="{FF2B5EF4-FFF2-40B4-BE49-F238E27FC236}">
              <a16:creationId xmlns:a16="http://schemas.microsoft.com/office/drawing/2014/main" id="{3926922E-C0DF-5DB0-FDF7-C1F461E5DDD9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4" name="Line 119">
          <a:extLst>
            <a:ext uri="{FF2B5EF4-FFF2-40B4-BE49-F238E27FC236}">
              <a16:creationId xmlns:a16="http://schemas.microsoft.com/office/drawing/2014/main" id="{A9ADE63F-8E0F-8653-AFC2-9248A5BCE452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5" name="Line 120">
          <a:extLst>
            <a:ext uri="{FF2B5EF4-FFF2-40B4-BE49-F238E27FC236}">
              <a16:creationId xmlns:a16="http://schemas.microsoft.com/office/drawing/2014/main" id="{1BD3E8A6-E6C5-2092-A611-7D988EE32234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6" name="Line 121">
          <a:extLst>
            <a:ext uri="{FF2B5EF4-FFF2-40B4-BE49-F238E27FC236}">
              <a16:creationId xmlns:a16="http://schemas.microsoft.com/office/drawing/2014/main" id="{F5473AD4-0959-DE7A-EB68-876FAC532191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1597" name="Line 122">
          <a:extLst>
            <a:ext uri="{FF2B5EF4-FFF2-40B4-BE49-F238E27FC236}">
              <a16:creationId xmlns:a16="http://schemas.microsoft.com/office/drawing/2014/main" id="{6CFBAA02-867A-1B78-F76B-D870AE3FDE32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1598" name="Line 123">
          <a:extLst>
            <a:ext uri="{FF2B5EF4-FFF2-40B4-BE49-F238E27FC236}">
              <a16:creationId xmlns:a16="http://schemas.microsoft.com/office/drawing/2014/main" id="{A3A6B6C2-FAF2-89B2-B51B-35B8FB268338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1599" name="Line 124">
          <a:extLst>
            <a:ext uri="{FF2B5EF4-FFF2-40B4-BE49-F238E27FC236}">
              <a16:creationId xmlns:a16="http://schemas.microsoft.com/office/drawing/2014/main" id="{866BEE9B-4A74-5958-24F4-E979603736E8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1600" name="Line 125">
          <a:extLst>
            <a:ext uri="{FF2B5EF4-FFF2-40B4-BE49-F238E27FC236}">
              <a16:creationId xmlns:a16="http://schemas.microsoft.com/office/drawing/2014/main" id="{BF824276-1A7A-A9BC-20D1-F64077D7D6DB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1601" name="Line 126">
          <a:extLst>
            <a:ext uri="{FF2B5EF4-FFF2-40B4-BE49-F238E27FC236}">
              <a16:creationId xmlns:a16="http://schemas.microsoft.com/office/drawing/2014/main" id="{8FC46132-5F5C-BEFC-FD0B-438E8324A1FE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1602" name="Group 127">
          <a:extLst>
            <a:ext uri="{FF2B5EF4-FFF2-40B4-BE49-F238E27FC236}">
              <a16:creationId xmlns:a16="http://schemas.microsoft.com/office/drawing/2014/main" id="{C4592B51-87FA-33FA-7E28-596F7558A90C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1670" name="Oval 128">
            <a:extLst>
              <a:ext uri="{FF2B5EF4-FFF2-40B4-BE49-F238E27FC236}">
                <a16:creationId xmlns:a16="http://schemas.microsoft.com/office/drawing/2014/main" id="{A2A8D8B8-F971-8BD4-E0AA-CB5C781C388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71" name="Line 129">
            <a:extLst>
              <a:ext uri="{FF2B5EF4-FFF2-40B4-BE49-F238E27FC236}">
                <a16:creationId xmlns:a16="http://schemas.microsoft.com/office/drawing/2014/main" id="{894F69BE-E23F-24C6-8E53-DA86F32DC70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1603" name="Group 130">
          <a:extLst>
            <a:ext uri="{FF2B5EF4-FFF2-40B4-BE49-F238E27FC236}">
              <a16:creationId xmlns:a16="http://schemas.microsoft.com/office/drawing/2014/main" id="{61782A92-068F-2B37-C4C0-D55D1DC8E87D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71668" name="Oval 131">
            <a:extLst>
              <a:ext uri="{FF2B5EF4-FFF2-40B4-BE49-F238E27FC236}">
                <a16:creationId xmlns:a16="http://schemas.microsoft.com/office/drawing/2014/main" id="{1353E423-5830-4E3A-3B88-7D9E5FC833F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9" name="Line 132">
            <a:extLst>
              <a:ext uri="{FF2B5EF4-FFF2-40B4-BE49-F238E27FC236}">
                <a16:creationId xmlns:a16="http://schemas.microsoft.com/office/drawing/2014/main" id="{1290821B-60BF-E34C-92D9-B16CA106E7B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1604" name="Group 133">
          <a:extLst>
            <a:ext uri="{FF2B5EF4-FFF2-40B4-BE49-F238E27FC236}">
              <a16:creationId xmlns:a16="http://schemas.microsoft.com/office/drawing/2014/main" id="{ACBCDC66-C69D-F906-825C-AC25F4EFDA05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1666" name="Oval 134">
            <a:extLst>
              <a:ext uri="{FF2B5EF4-FFF2-40B4-BE49-F238E27FC236}">
                <a16:creationId xmlns:a16="http://schemas.microsoft.com/office/drawing/2014/main" id="{7C98CA85-C645-E993-D371-177609178A0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7" name="Line 135">
            <a:extLst>
              <a:ext uri="{FF2B5EF4-FFF2-40B4-BE49-F238E27FC236}">
                <a16:creationId xmlns:a16="http://schemas.microsoft.com/office/drawing/2014/main" id="{B328897B-2258-3D63-EE19-15DC7B147B3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1605" name="Group 136">
          <a:extLst>
            <a:ext uri="{FF2B5EF4-FFF2-40B4-BE49-F238E27FC236}">
              <a16:creationId xmlns:a16="http://schemas.microsoft.com/office/drawing/2014/main" id="{88ED27B2-C730-64CA-18D3-429F4BDF833B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1664" name="Oval 137">
            <a:extLst>
              <a:ext uri="{FF2B5EF4-FFF2-40B4-BE49-F238E27FC236}">
                <a16:creationId xmlns:a16="http://schemas.microsoft.com/office/drawing/2014/main" id="{ABEE761E-650A-9FB6-0A52-0F1AB7EBD1A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5" name="Line 138">
            <a:extLst>
              <a:ext uri="{FF2B5EF4-FFF2-40B4-BE49-F238E27FC236}">
                <a16:creationId xmlns:a16="http://schemas.microsoft.com/office/drawing/2014/main" id="{AD01B7E8-1FB7-CCF7-14BD-5DBA8DC0D56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1606" name="Group 139">
          <a:extLst>
            <a:ext uri="{FF2B5EF4-FFF2-40B4-BE49-F238E27FC236}">
              <a16:creationId xmlns:a16="http://schemas.microsoft.com/office/drawing/2014/main" id="{C7E91401-0444-F628-CB84-07F0ED3C0532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1662" name="Oval 140">
            <a:extLst>
              <a:ext uri="{FF2B5EF4-FFF2-40B4-BE49-F238E27FC236}">
                <a16:creationId xmlns:a16="http://schemas.microsoft.com/office/drawing/2014/main" id="{8A80B54F-BC40-5242-51C7-5EC7C0BB153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3" name="Line 141">
            <a:extLst>
              <a:ext uri="{FF2B5EF4-FFF2-40B4-BE49-F238E27FC236}">
                <a16:creationId xmlns:a16="http://schemas.microsoft.com/office/drawing/2014/main" id="{A635B0C0-B2A8-B987-C347-1F297CDD38B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1607" name="Group 142">
          <a:extLst>
            <a:ext uri="{FF2B5EF4-FFF2-40B4-BE49-F238E27FC236}">
              <a16:creationId xmlns:a16="http://schemas.microsoft.com/office/drawing/2014/main" id="{B4BC0B10-B4E0-20EA-1247-8B0D3A79361A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1660" name="Oval 143">
            <a:extLst>
              <a:ext uri="{FF2B5EF4-FFF2-40B4-BE49-F238E27FC236}">
                <a16:creationId xmlns:a16="http://schemas.microsoft.com/office/drawing/2014/main" id="{2AC5EE96-1B79-69A3-BB32-7119A5D70BE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1" name="Line 144">
            <a:extLst>
              <a:ext uri="{FF2B5EF4-FFF2-40B4-BE49-F238E27FC236}">
                <a16:creationId xmlns:a16="http://schemas.microsoft.com/office/drawing/2014/main" id="{BD442C88-AB54-0ECB-FF70-B5BE7EF842A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1608" name="Group 145">
          <a:extLst>
            <a:ext uri="{FF2B5EF4-FFF2-40B4-BE49-F238E27FC236}">
              <a16:creationId xmlns:a16="http://schemas.microsoft.com/office/drawing/2014/main" id="{B958BA50-F89C-0511-0E2A-D986448011D9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71658" name="Oval 146">
            <a:extLst>
              <a:ext uri="{FF2B5EF4-FFF2-40B4-BE49-F238E27FC236}">
                <a16:creationId xmlns:a16="http://schemas.microsoft.com/office/drawing/2014/main" id="{237159CE-111A-12EE-2A67-08BDDA2B538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59" name="Line 147">
            <a:extLst>
              <a:ext uri="{FF2B5EF4-FFF2-40B4-BE49-F238E27FC236}">
                <a16:creationId xmlns:a16="http://schemas.microsoft.com/office/drawing/2014/main" id="{C330A43F-7F7E-CC21-6E19-2A9EA8905F7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994A21A9-8FC3-B820-A9A7-8CEC5CD45252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1610" name="Line 149">
          <a:extLst>
            <a:ext uri="{FF2B5EF4-FFF2-40B4-BE49-F238E27FC236}">
              <a16:creationId xmlns:a16="http://schemas.microsoft.com/office/drawing/2014/main" id="{E63CA093-7CBB-6442-F925-84CCD24F9D9F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1611" name="Line 150">
          <a:extLst>
            <a:ext uri="{FF2B5EF4-FFF2-40B4-BE49-F238E27FC236}">
              <a16:creationId xmlns:a16="http://schemas.microsoft.com/office/drawing/2014/main" id="{4D314C4D-1083-8BBD-5DF2-73CF80EE547D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B3C1618D-079A-F65B-CC02-C619A5E9F9F1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1613" name="Line 153">
          <a:extLst>
            <a:ext uri="{FF2B5EF4-FFF2-40B4-BE49-F238E27FC236}">
              <a16:creationId xmlns:a16="http://schemas.microsoft.com/office/drawing/2014/main" id="{C6689106-A536-5663-BE6E-6EE62FAD075A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1614" name="Line 154">
          <a:extLst>
            <a:ext uri="{FF2B5EF4-FFF2-40B4-BE49-F238E27FC236}">
              <a16:creationId xmlns:a16="http://schemas.microsoft.com/office/drawing/2014/main" id="{16FF96B6-5C54-4541-DA04-08F4FBB48F4A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1615" name="Freeform 155">
          <a:extLst>
            <a:ext uri="{FF2B5EF4-FFF2-40B4-BE49-F238E27FC236}">
              <a16:creationId xmlns:a16="http://schemas.microsoft.com/office/drawing/2014/main" id="{22373696-9302-DDD1-DE7E-03ACDD6D34BD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1616" name="Line 156">
          <a:extLst>
            <a:ext uri="{FF2B5EF4-FFF2-40B4-BE49-F238E27FC236}">
              <a16:creationId xmlns:a16="http://schemas.microsoft.com/office/drawing/2014/main" id="{67550274-6B5E-CB88-35FF-839ADDD0F513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1617" name="Line 157">
          <a:extLst>
            <a:ext uri="{FF2B5EF4-FFF2-40B4-BE49-F238E27FC236}">
              <a16:creationId xmlns:a16="http://schemas.microsoft.com/office/drawing/2014/main" id="{03184783-76B1-8CDB-9D16-4A674F32BE00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1618" name="Line 158">
          <a:extLst>
            <a:ext uri="{FF2B5EF4-FFF2-40B4-BE49-F238E27FC236}">
              <a16:creationId xmlns:a16="http://schemas.microsoft.com/office/drawing/2014/main" id="{364812A7-0E9E-7FDD-2C68-2D183621C900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1619" name="Line 160">
          <a:extLst>
            <a:ext uri="{FF2B5EF4-FFF2-40B4-BE49-F238E27FC236}">
              <a16:creationId xmlns:a16="http://schemas.microsoft.com/office/drawing/2014/main" id="{048B3343-50D9-0DE4-88D3-5B37BD1D118F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1620" name="Line 161">
          <a:extLst>
            <a:ext uri="{FF2B5EF4-FFF2-40B4-BE49-F238E27FC236}">
              <a16:creationId xmlns:a16="http://schemas.microsoft.com/office/drawing/2014/main" id="{545C3FC7-ACB9-065E-C1C4-D5BC43C85073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1621" name="Line 162">
          <a:extLst>
            <a:ext uri="{FF2B5EF4-FFF2-40B4-BE49-F238E27FC236}">
              <a16:creationId xmlns:a16="http://schemas.microsoft.com/office/drawing/2014/main" id="{D15E5229-B6DA-37F7-C106-E0D1E0A81901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1622" name="Line 163">
          <a:extLst>
            <a:ext uri="{FF2B5EF4-FFF2-40B4-BE49-F238E27FC236}">
              <a16:creationId xmlns:a16="http://schemas.microsoft.com/office/drawing/2014/main" id="{F201D817-9E9E-1484-7905-D9B697F41746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1623" name="Line 164">
          <a:extLst>
            <a:ext uri="{FF2B5EF4-FFF2-40B4-BE49-F238E27FC236}">
              <a16:creationId xmlns:a16="http://schemas.microsoft.com/office/drawing/2014/main" id="{B09F20A6-48A0-EC14-14E6-B280877E9B38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1624" name="Line 165">
          <a:extLst>
            <a:ext uri="{FF2B5EF4-FFF2-40B4-BE49-F238E27FC236}">
              <a16:creationId xmlns:a16="http://schemas.microsoft.com/office/drawing/2014/main" id="{AE7DF834-EE75-6537-5D96-6093F8C9EB00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06FD30EF-2AD9-D892-C661-FA552A8DA26E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D7908632-414C-CAFB-D934-CF660EE6C227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1627" name="Line 2509">
          <a:extLst>
            <a:ext uri="{FF2B5EF4-FFF2-40B4-BE49-F238E27FC236}">
              <a16:creationId xmlns:a16="http://schemas.microsoft.com/office/drawing/2014/main" id="{931EC975-ED78-F2BF-72C6-2CEF9306F1F7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28611CEF-BFD3-C1DA-9D5E-0845DA6DDD73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C380130E-4E23-7D4A-6AE5-96D3260626F0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1630" name="Group 183">
          <a:extLst>
            <a:ext uri="{FF2B5EF4-FFF2-40B4-BE49-F238E27FC236}">
              <a16:creationId xmlns:a16="http://schemas.microsoft.com/office/drawing/2014/main" id="{1446144A-63AE-916B-98FD-48723CAE305B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379C9BEB-9F63-C964-8F62-D9C38F0FEF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1650" name="Line 2507">
            <a:extLst>
              <a:ext uri="{FF2B5EF4-FFF2-40B4-BE49-F238E27FC236}">
                <a16:creationId xmlns:a16="http://schemas.microsoft.com/office/drawing/2014/main" id="{BBE131F7-5BD7-36F0-51DB-B095DABD0BC5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D51B959F-BBD5-C414-1411-F5C94A5EC8F3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E81F2930-7861-924F-BA49-DD3ADAD010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8D77FCD4-5D03-97B1-BE66-E1EEF55920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07C09032-D467-17DA-C99D-F2793F99CB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4D53F3C-5E92-F6F6-DA09-B58EC9FF50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1656" name="Line 2515">
            <a:extLst>
              <a:ext uri="{FF2B5EF4-FFF2-40B4-BE49-F238E27FC236}">
                <a16:creationId xmlns:a16="http://schemas.microsoft.com/office/drawing/2014/main" id="{5E078F72-E372-3809-7C52-DB9AB6F36D49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C881BC04-CD16-C229-6B36-3714DF769F65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3BFFBA7C-7F64-DE90-9E24-90CCAB80A4A1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E8779B8D-443E-2E88-BF70-A5152A0D947D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11B3B58B-1D6F-5AB8-FA0E-212C0BA1C574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07820287-EEE4-8659-A220-89DF42291E8E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4F6C734C-E35B-7570-489D-6441C6705B89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F3873C85-1B27-2515-3447-15E80D53EECC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1637" name="Line 2515">
          <a:extLst>
            <a:ext uri="{FF2B5EF4-FFF2-40B4-BE49-F238E27FC236}">
              <a16:creationId xmlns:a16="http://schemas.microsoft.com/office/drawing/2014/main" id="{38066EE7-BCDA-4156-477D-72EF9253AAC1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0455B5AF-EFD3-3E5C-E9CA-FBB432D998A4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48C77D0E-4088-E371-A718-3F1714AB89BF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61351107-46D8-3988-C024-D943E004641A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6FE20E68-983C-9C3F-90CD-DCF2739BA0C1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1F8A101D-D061-C1A4-0611-E8CE6FDAE54B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13672C6F-F016-EE52-3050-E4ADB97318BD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5028E8B8-4D86-935F-DE89-48FA1E12B3FD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63ED43FA-0AB2-ABEA-238E-2CC2806D33A6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0217064B-D27C-1F21-472B-2BFD75388CB4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837534B9-192B-3019-8E4A-B470171E0717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8C328334-A006-FDE2-35E0-C417DA592199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2500" name="Rectangle 1">
          <a:extLst>
            <a:ext uri="{FF2B5EF4-FFF2-40B4-BE49-F238E27FC236}">
              <a16:creationId xmlns:a16="http://schemas.microsoft.com/office/drawing/2014/main" id="{0AED9341-08A4-B25E-E12C-FA124A0B7C0C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2501" name="Line 2">
          <a:extLst>
            <a:ext uri="{FF2B5EF4-FFF2-40B4-BE49-F238E27FC236}">
              <a16:creationId xmlns:a16="http://schemas.microsoft.com/office/drawing/2014/main" id="{BE2A8B20-07B2-17EE-1A4F-444E0A9E49CE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2502" name="Line 3">
          <a:extLst>
            <a:ext uri="{FF2B5EF4-FFF2-40B4-BE49-F238E27FC236}">
              <a16:creationId xmlns:a16="http://schemas.microsoft.com/office/drawing/2014/main" id="{4E92A0CB-FA29-B8AF-9AA7-A219068EA943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3" name="Line 4">
          <a:extLst>
            <a:ext uri="{FF2B5EF4-FFF2-40B4-BE49-F238E27FC236}">
              <a16:creationId xmlns:a16="http://schemas.microsoft.com/office/drawing/2014/main" id="{E087D127-E643-ADCB-ECF2-562E12BC22A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4" name="Line 5">
          <a:extLst>
            <a:ext uri="{FF2B5EF4-FFF2-40B4-BE49-F238E27FC236}">
              <a16:creationId xmlns:a16="http://schemas.microsoft.com/office/drawing/2014/main" id="{59C8E01E-840F-088D-370A-6D4E3212288C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5" name="Line 6">
          <a:extLst>
            <a:ext uri="{FF2B5EF4-FFF2-40B4-BE49-F238E27FC236}">
              <a16:creationId xmlns:a16="http://schemas.microsoft.com/office/drawing/2014/main" id="{C4122BBC-C308-CA9C-BB0F-2717DBC725B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6" name="Line 7">
          <a:extLst>
            <a:ext uri="{FF2B5EF4-FFF2-40B4-BE49-F238E27FC236}">
              <a16:creationId xmlns:a16="http://schemas.microsoft.com/office/drawing/2014/main" id="{45D7C2F4-47F4-93BF-87CF-30F44B2791DA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7" name="Line 8">
          <a:extLst>
            <a:ext uri="{FF2B5EF4-FFF2-40B4-BE49-F238E27FC236}">
              <a16:creationId xmlns:a16="http://schemas.microsoft.com/office/drawing/2014/main" id="{CA3331F3-E8C6-751C-6E49-DC9D7E45DE4A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08" name="Line 9">
          <a:extLst>
            <a:ext uri="{FF2B5EF4-FFF2-40B4-BE49-F238E27FC236}">
              <a16:creationId xmlns:a16="http://schemas.microsoft.com/office/drawing/2014/main" id="{B682509A-3679-5D51-2226-5D682B0E5AA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09" name="Line 10">
          <a:extLst>
            <a:ext uri="{FF2B5EF4-FFF2-40B4-BE49-F238E27FC236}">
              <a16:creationId xmlns:a16="http://schemas.microsoft.com/office/drawing/2014/main" id="{836DA05C-2B53-0F9A-8B3D-ADDBB1B85604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0" name="Line 11">
          <a:extLst>
            <a:ext uri="{FF2B5EF4-FFF2-40B4-BE49-F238E27FC236}">
              <a16:creationId xmlns:a16="http://schemas.microsoft.com/office/drawing/2014/main" id="{3FDBC529-42DD-D9CD-DFD4-0F95612BCF0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1" name="Line 12">
          <a:extLst>
            <a:ext uri="{FF2B5EF4-FFF2-40B4-BE49-F238E27FC236}">
              <a16:creationId xmlns:a16="http://schemas.microsoft.com/office/drawing/2014/main" id="{5CFAD620-85B5-3A3B-42A6-2DF360FECD7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2" name="Line 13">
          <a:extLst>
            <a:ext uri="{FF2B5EF4-FFF2-40B4-BE49-F238E27FC236}">
              <a16:creationId xmlns:a16="http://schemas.microsoft.com/office/drawing/2014/main" id="{8B70D56C-3A3A-405E-B352-6EC828E7B7F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2513" name="Line 14">
          <a:extLst>
            <a:ext uri="{FF2B5EF4-FFF2-40B4-BE49-F238E27FC236}">
              <a16:creationId xmlns:a16="http://schemas.microsoft.com/office/drawing/2014/main" id="{73C90722-B055-A0A8-08C4-845219F78959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2514" name="Line 15">
          <a:extLst>
            <a:ext uri="{FF2B5EF4-FFF2-40B4-BE49-F238E27FC236}">
              <a16:creationId xmlns:a16="http://schemas.microsoft.com/office/drawing/2014/main" id="{017919D2-09AA-B35C-C4A2-B6C59EFE825C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15" name="Line 16">
          <a:extLst>
            <a:ext uri="{FF2B5EF4-FFF2-40B4-BE49-F238E27FC236}">
              <a16:creationId xmlns:a16="http://schemas.microsoft.com/office/drawing/2014/main" id="{AA369003-3C7E-D4B2-BA90-AEB53C2E64EF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2516" name="Line 17">
          <a:extLst>
            <a:ext uri="{FF2B5EF4-FFF2-40B4-BE49-F238E27FC236}">
              <a16:creationId xmlns:a16="http://schemas.microsoft.com/office/drawing/2014/main" id="{286A1B21-6B6D-6F81-503C-59C634FA969B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2517" name="Line 18">
          <a:extLst>
            <a:ext uri="{FF2B5EF4-FFF2-40B4-BE49-F238E27FC236}">
              <a16:creationId xmlns:a16="http://schemas.microsoft.com/office/drawing/2014/main" id="{E167E4EE-D8A3-96F2-77CD-A161CA4E874C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18" name="Line 19">
          <a:extLst>
            <a:ext uri="{FF2B5EF4-FFF2-40B4-BE49-F238E27FC236}">
              <a16:creationId xmlns:a16="http://schemas.microsoft.com/office/drawing/2014/main" id="{E8BE273D-CC73-7348-68A1-C6AA08B6B07C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19" name="Line 20">
          <a:extLst>
            <a:ext uri="{FF2B5EF4-FFF2-40B4-BE49-F238E27FC236}">
              <a16:creationId xmlns:a16="http://schemas.microsoft.com/office/drawing/2014/main" id="{D98877FD-63AD-C1CC-4DBF-DE84648D156B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0" name="Line 21">
          <a:extLst>
            <a:ext uri="{FF2B5EF4-FFF2-40B4-BE49-F238E27FC236}">
              <a16:creationId xmlns:a16="http://schemas.microsoft.com/office/drawing/2014/main" id="{159C0519-4559-62F8-B93B-ACA942C5A56D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1" name="Line 22">
          <a:extLst>
            <a:ext uri="{FF2B5EF4-FFF2-40B4-BE49-F238E27FC236}">
              <a16:creationId xmlns:a16="http://schemas.microsoft.com/office/drawing/2014/main" id="{77F41357-91B7-4ECB-8E5D-17923F04B496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22" name="Line 23">
          <a:extLst>
            <a:ext uri="{FF2B5EF4-FFF2-40B4-BE49-F238E27FC236}">
              <a16:creationId xmlns:a16="http://schemas.microsoft.com/office/drawing/2014/main" id="{0E7F661B-8E7A-790C-E48E-880CA52BC2AD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23" name="Line 24">
          <a:extLst>
            <a:ext uri="{FF2B5EF4-FFF2-40B4-BE49-F238E27FC236}">
              <a16:creationId xmlns:a16="http://schemas.microsoft.com/office/drawing/2014/main" id="{AEB52B2A-A755-7D3F-F1A8-A306A0F43EB4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4" name="Line 25">
          <a:extLst>
            <a:ext uri="{FF2B5EF4-FFF2-40B4-BE49-F238E27FC236}">
              <a16:creationId xmlns:a16="http://schemas.microsoft.com/office/drawing/2014/main" id="{3B287A32-25C0-274F-EE03-90EDEE2C6366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F8CA083A-875A-D34F-FB4E-61F524455A2C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2526" name="Line 27">
          <a:extLst>
            <a:ext uri="{FF2B5EF4-FFF2-40B4-BE49-F238E27FC236}">
              <a16:creationId xmlns:a16="http://schemas.microsoft.com/office/drawing/2014/main" id="{A96F3D64-B5A4-B140-3991-0C62AFB940C2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2527" name="Line 28">
          <a:extLst>
            <a:ext uri="{FF2B5EF4-FFF2-40B4-BE49-F238E27FC236}">
              <a16:creationId xmlns:a16="http://schemas.microsoft.com/office/drawing/2014/main" id="{9B6179D3-4030-9DD8-200D-C7E1EABC1565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7CFB8A60-FC45-6387-0553-3107196FB0B5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29" name="Line 30">
          <a:extLst>
            <a:ext uri="{FF2B5EF4-FFF2-40B4-BE49-F238E27FC236}">
              <a16:creationId xmlns:a16="http://schemas.microsoft.com/office/drawing/2014/main" id="{CBE71B2C-4093-1AA3-D799-2B881DA13E71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0" name="Line 31">
          <a:extLst>
            <a:ext uri="{FF2B5EF4-FFF2-40B4-BE49-F238E27FC236}">
              <a16:creationId xmlns:a16="http://schemas.microsoft.com/office/drawing/2014/main" id="{17B7DEC2-696C-71AD-57D4-B68973A16AC4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1" name="Line 32">
          <a:extLst>
            <a:ext uri="{FF2B5EF4-FFF2-40B4-BE49-F238E27FC236}">
              <a16:creationId xmlns:a16="http://schemas.microsoft.com/office/drawing/2014/main" id="{015B4612-04FE-643A-745B-3E7B6DEFB111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2" name="Line 33">
          <a:extLst>
            <a:ext uri="{FF2B5EF4-FFF2-40B4-BE49-F238E27FC236}">
              <a16:creationId xmlns:a16="http://schemas.microsoft.com/office/drawing/2014/main" id="{CB4D819D-5CB4-E71B-9119-7A727DADFB0E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2533" name="Rectangle 34">
          <a:extLst>
            <a:ext uri="{FF2B5EF4-FFF2-40B4-BE49-F238E27FC236}">
              <a16:creationId xmlns:a16="http://schemas.microsoft.com/office/drawing/2014/main" id="{121F8AEF-1170-0A34-6265-FEE41C376B04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2534" name="Line 35">
          <a:extLst>
            <a:ext uri="{FF2B5EF4-FFF2-40B4-BE49-F238E27FC236}">
              <a16:creationId xmlns:a16="http://schemas.microsoft.com/office/drawing/2014/main" id="{3DE88A18-111F-C571-F895-1C1ED7FF1012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2535" name="Line 36">
          <a:extLst>
            <a:ext uri="{FF2B5EF4-FFF2-40B4-BE49-F238E27FC236}">
              <a16:creationId xmlns:a16="http://schemas.microsoft.com/office/drawing/2014/main" id="{9998DA3A-DCC1-D729-626E-A06AA98A8C66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6" name="Line 37">
          <a:extLst>
            <a:ext uri="{FF2B5EF4-FFF2-40B4-BE49-F238E27FC236}">
              <a16:creationId xmlns:a16="http://schemas.microsoft.com/office/drawing/2014/main" id="{712CA9CB-AA89-2F1D-333F-5CFF82339027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7" name="Line 38">
          <a:extLst>
            <a:ext uri="{FF2B5EF4-FFF2-40B4-BE49-F238E27FC236}">
              <a16:creationId xmlns:a16="http://schemas.microsoft.com/office/drawing/2014/main" id="{EDD3F241-28A3-0B2E-1977-F5F58EE1538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8" name="Line 39">
          <a:extLst>
            <a:ext uri="{FF2B5EF4-FFF2-40B4-BE49-F238E27FC236}">
              <a16:creationId xmlns:a16="http://schemas.microsoft.com/office/drawing/2014/main" id="{D1FB404B-F8AE-3DEE-390D-1BE3FA754AE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9" name="Line 40">
          <a:extLst>
            <a:ext uri="{FF2B5EF4-FFF2-40B4-BE49-F238E27FC236}">
              <a16:creationId xmlns:a16="http://schemas.microsoft.com/office/drawing/2014/main" id="{34B6AE86-DB0F-7285-477E-1ECBDF6520A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40" name="Line 41">
          <a:extLst>
            <a:ext uri="{FF2B5EF4-FFF2-40B4-BE49-F238E27FC236}">
              <a16:creationId xmlns:a16="http://schemas.microsoft.com/office/drawing/2014/main" id="{6B203EF7-EC79-7E1B-4682-8265037622C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1" name="Line 42">
          <a:extLst>
            <a:ext uri="{FF2B5EF4-FFF2-40B4-BE49-F238E27FC236}">
              <a16:creationId xmlns:a16="http://schemas.microsoft.com/office/drawing/2014/main" id="{6A18559C-6927-1252-1355-74DDC6C93EF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2" name="Line 43">
          <a:extLst>
            <a:ext uri="{FF2B5EF4-FFF2-40B4-BE49-F238E27FC236}">
              <a16:creationId xmlns:a16="http://schemas.microsoft.com/office/drawing/2014/main" id="{9C72535A-3D78-8650-B847-46D61C955FF1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3" name="Line 44">
          <a:extLst>
            <a:ext uri="{FF2B5EF4-FFF2-40B4-BE49-F238E27FC236}">
              <a16:creationId xmlns:a16="http://schemas.microsoft.com/office/drawing/2014/main" id="{38D57D5E-4A4E-D2D1-2732-1B2A7620D71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4" name="Line 45">
          <a:extLst>
            <a:ext uri="{FF2B5EF4-FFF2-40B4-BE49-F238E27FC236}">
              <a16:creationId xmlns:a16="http://schemas.microsoft.com/office/drawing/2014/main" id="{AB14894D-C24B-4564-AFDB-D70A09B87A9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5" name="Line 46">
          <a:extLst>
            <a:ext uri="{FF2B5EF4-FFF2-40B4-BE49-F238E27FC236}">
              <a16:creationId xmlns:a16="http://schemas.microsoft.com/office/drawing/2014/main" id="{178C595F-9366-A7C4-93DF-002C23D4F54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2546" name="Line 47">
          <a:extLst>
            <a:ext uri="{FF2B5EF4-FFF2-40B4-BE49-F238E27FC236}">
              <a16:creationId xmlns:a16="http://schemas.microsoft.com/office/drawing/2014/main" id="{E3EC748F-417B-9234-435B-B9E6CA2F0734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2547" name="Line 48">
          <a:extLst>
            <a:ext uri="{FF2B5EF4-FFF2-40B4-BE49-F238E27FC236}">
              <a16:creationId xmlns:a16="http://schemas.microsoft.com/office/drawing/2014/main" id="{1B410D32-CC99-2517-9660-6E621BAE8265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48" name="Line 49">
          <a:extLst>
            <a:ext uri="{FF2B5EF4-FFF2-40B4-BE49-F238E27FC236}">
              <a16:creationId xmlns:a16="http://schemas.microsoft.com/office/drawing/2014/main" id="{8636263B-E868-002C-8324-66627842020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2549" name="Line 50">
          <a:extLst>
            <a:ext uri="{FF2B5EF4-FFF2-40B4-BE49-F238E27FC236}">
              <a16:creationId xmlns:a16="http://schemas.microsoft.com/office/drawing/2014/main" id="{30130F2E-4A61-3A58-D015-809D64792B29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2550" name="Line 51">
          <a:extLst>
            <a:ext uri="{FF2B5EF4-FFF2-40B4-BE49-F238E27FC236}">
              <a16:creationId xmlns:a16="http://schemas.microsoft.com/office/drawing/2014/main" id="{96AD6DA9-5F36-2157-EA12-C655A586BF23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51" name="Line 52">
          <a:extLst>
            <a:ext uri="{FF2B5EF4-FFF2-40B4-BE49-F238E27FC236}">
              <a16:creationId xmlns:a16="http://schemas.microsoft.com/office/drawing/2014/main" id="{110EBB99-F63C-5BF9-12D4-D4E43CE66F3F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52" name="Line 53">
          <a:extLst>
            <a:ext uri="{FF2B5EF4-FFF2-40B4-BE49-F238E27FC236}">
              <a16:creationId xmlns:a16="http://schemas.microsoft.com/office/drawing/2014/main" id="{A7154A96-9386-E0C8-3A41-BA1AA4E0E38F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53" name="Line 54">
          <a:extLst>
            <a:ext uri="{FF2B5EF4-FFF2-40B4-BE49-F238E27FC236}">
              <a16:creationId xmlns:a16="http://schemas.microsoft.com/office/drawing/2014/main" id="{19E728D0-E9E9-B2D2-60F1-79D5FCBEA689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2554" name="Line 55">
          <a:extLst>
            <a:ext uri="{FF2B5EF4-FFF2-40B4-BE49-F238E27FC236}">
              <a16:creationId xmlns:a16="http://schemas.microsoft.com/office/drawing/2014/main" id="{9FFC144F-8366-8A03-D42F-EF093BEF1520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8AEA29E-0FEA-7BBC-6664-9500ECD849BA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972D2E4F-6B82-D16D-D773-18ACD2CEFB03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923B2ED1-CB21-6A2E-5CB6-0FC980F0F888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291FD906-5492-5F28-CF84-F5111498DF0D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4637680D-E567-F222-46F2-7CEF65E00FA5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0D50B535-1980-BD5A-25B7-0925BD766BC1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2561" name="Line 62">
          <a:extLst>
            <a:ext uri="{FF2B5EF4-FFF2-40B4-BE49-F238E27FC236}">
              <a16:creationId xmlns:a16="http://schemas.microsoft.com/office/drawing/2014/main" id="{92978754-CC5D-ADCD-FEAA-D2B2D8153015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2562" name="Line 63">
          <a:extLst>
            <a:ext uri="{FF2B5EF4-FFF2-40B4-BE49-F238E27FC236}">
              <a16:creationId xmlns:a16="http://schemas.microsoft.com/office/drawing/2014/main" id="{384B6247-AF6F-522B-4A89-7BEC4C2394B1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2563" name="Line 64">
          <a:extLst>
            <a:ext uri="{FF2B5EF4-FFF2-40B4-BE49-F238E27FC236}">
              <a16:creationId xmlns:a16="http://schemas.microsoft.com/office/drawing/2014/main" id="{4428D260-3C35-F50B-7945-52131A52A6CE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2564" name="Line 65">
          <a:extLst>
            <a:ext uri="{FF2B5EF4-FFF2-40B4-BE49-F238E27FC236}">
              <a16:creationId xmlns:a16="http://schemas.microsoft.com/office/drawing/2014/main" id="{C392392F-1928-AEF0-A026-8719C826E0DE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2565" name="Line 66">
          <a:extLst>
            <a:ext uri="{FF2B5EF4-FFF2-40B4-BE49-F238E27FC236}">
              <a16:creationId xmlns:a16="http://schemas.microsoft.com/office/drawing/2014/main" id="{C90F36B9-1329-6561-7312-B561B644AFD3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2566" name="Line 67">
          <a:extLst>
            <a:ext uri="{FF2B5EF4-FFF2-40B4-BE49-F238E27FC236}">
              <a16:creationId xmlns:a16="http://schemas.microsoft.com/office/drawing/2014/main" id="{E1FAD430-E0C4-5DFF-9FBE-B7FE20C19367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0D9C04B2-436D-21E0-5474-540C0EE3DE28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2568" name="Line 69">
          <a:extLst>
            <a:ext uri="{FF2B5EF4-FFF2-40B4-BE49-F238E27FC236}">
              <a16:creationId xmlns:a16="http://schemas.microsoft.com/office/drawing/2014/main" id="{8FB0E17A-B5B1-EA51-BCF7-6C375A0FD6FC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74E8B1BA-137E-1561-46FC-56DEBF9D906D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2570" name="Line 71">
          <a:extLst>
            <a:ext uri="{FF2B5EF4-FFF2-40B4-BE49-F238E27FC236}">
              <a16:creationId xmlns:a16="http://schemas.microsoft.com/office/drawing/2014/main" id="{0E5EDC40-BF8B-8D14-8C03-95F06FAD1286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2571" name="Line 72">
          <a:extLst>
            <a:ext uri="{FF2B5EF4-FFF2-40B4-BE49-F238E27FC236}">
              <a16:creationId xmlns:a16="http://schemas.microsoft.com/office/drawing/2014/main" id="{11630EEF-0CD9-428F-A2E4-FA60A708392A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2572" name="Line 73">
          <a:extLst>
            <a:ext uri="{FF2B5EF4-FFF2-40B4-BE49-F238E27FC236}">
              <a16:creationId xmlns:a16="http://schemas.microsoft.com/office/drawing/2014/main" id="{923ABD00-ADFC-6BCE-259B-562E9E178870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D360E805-E240-3549-A906-ED922AB54F7D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AF248AE7-ECBF-1A0F-4F91-DF722CA88AA5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33C6229A-D9B7-9F2B-D28C-4A8DED666532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15DF62F4-9B54-FB1F-FAA0-7A8CC0B26986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2577" name="Line 78">
          <a:extLst>
            <a:ext uri="{FF2B5EF4-FFF2-40B4-BE49-F238E27FC236}">
              <a16:creationId xmlns:a16="http://schemas.microsoft.com/office/drawing/2014/main" id="{5BA233A1-D493-CC97-EB6D-2C759D1B1BB4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2578" name="Line 79">
          <a:extLst>
            <a:ext uri="{FF2B5EF4-FFF2-40B4-BE49-F238E27FC236}">
              <a16:creationId xmlns:a16="http://schemas.microsoft.com/office/drawing/2014/main" id="{0629E240-1788-11FC-9272-7905D059F9F8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2579" name="Line 80">
          <a:extLst>
            <a:ext uri="{FF2B5EF4-FFF2-40B4-BE49-F238E27FC236}">
              <a16:creationId xmlns:a16="http://schemas.microsoft.com/office/drawing/2014/main" id="{7AF7A7EC-BB2A-9305-D02E-128650A3BE7E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2580" name="Line 81">
          <a:extLst>
            <a:ext uri="{FF2B5EF4-FFF2-40B4-BE49-F238E27FC236}">
              <a16:creationId xmlns:a16="http://schemas.microsoft.com/office/drawing/2014/main" id="{096621FE-A83D-EBA0-6D4B-82A65594E249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2581" name="Line 82">
          <a:extLst>
            <a:ext uri="{FF2B5EF4-FFF2-40B4-BE49-F238E27FC236}">
              <a16:creationId xmlns:a16="http://schemas.microsoft.com/office/drawing/2014/main" id="{6B42F4E1-BF8F-464C-E145-5F7DCF4FADA1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2582" name="Line 83">
          <a:extLst>
            <a:ext uri="{FF2B5EF4-FFF2-40B4-BE49-F238E27FC236}">
              <a16:creationId xmlns:a16="http://schemas.microsoft.com/office/drawing/2014/main" id="{B167C3D1-1A81-BF43-B721-1C7CC9141702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F7EAE6D6-1B3A-7E20-3ED8-5EEB3D9AA74E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2584" name="Line 85">
          <a:extLst>
            <a:ext uri="{FF2B5EF4-FFF2-40B4-BE49-F238E27FC236}">
              <a16:creationId xmlns:a16="http://schemas.microsoft.com/office/drawing/2014/main" id="{C88CCD45-A8A2-C61E-02B3-CB6476429DC8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2585" name="Line 86">
          <a:extLst>
            <a:ext uri="{FF2B5EF4-FFF2-40B4-BE49-F238E27FC236}">
              <a16:creationId xmlns:a16="http://schemas.microsoft.com/office/drawing/2014/main" id="{8511C70F-9AB3-C782-9D54-459B8BDA06F0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C274B081-5B8C-B0C0-1DFB-13EF5EB66201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2587" name="Line 88">
          <a:extLst>
            <a:ext uri="{FF2B5EF4-FFF2-40B4-BE49-F238E27FC236}">
              <a16:creationId xmlns:a16="http://schemas.microsoft.com/office/drawing/2014/main" id="{FA2F33AE-EB0F-E80E-2F78-4DDEA0281FD9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2588" name="Line 89">
          <a:extLst>
            <a:ext uri="{FF2B5EF4-FFF2-40B4-BE49-F238E27FC236}">
              <a16:creationId xmlns:a16="http://schemas.microsoft.com/office/drawing/2014/main" id="{3499C482-6BA2-A05F-B92E-B0EE907FAFE5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2589" name="Line 90">
          <a:extLst>
            <a:ext uri="{FF2B5EF4-FFF2-40B4-BE49-F238E27FC236}">
              <a16:creationId xmlns:a16="http://schemas.microsoft.com/office/drawing/2014/main" id="{1FFDFEFD-46C1-8C29-7BF0-AB9E6880CB68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2590" name="Line 91">
          <a:extLst>
            <a:ext uri="{FF2B5EF4-FFF2-40B4-BE49-F238E27FC236}">
              <a16:creationId xmlns:a16="http://schemas.microsoft.com/office/drawing/2014/main" id="{A66B8C48-01D6-5B01-CF8C-B8BA1DE4287F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2591" name="Line 92">
          <a:extLst>
            <a:ext uri="{FF2B5EF4-FFF2-40B4-BE49-F238E27FC236}">
              <a16:creationId xmlns:a16="http://schemas.microsoft.com/office/drawing/2014/main" id="{8F9C99DE-BA13-D149-E5B3-51BB6F55C890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2592" name="AutoShape 93" descr="Stationery">
          <a:extLst>
            <a:ext uri="{FF2B5EF4-FFF2-40B4-BE49-F238E27FC236}">
              <a16:creationId xmlns:a16="http://schemas.microsoft.com/office/drawing/2014/main" id="{895CD557-5081-910A-D778-2EFFA87C84BF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2593" name="Line 94">
          <a:extLst>
            <a:ext uri="{FF2B5EF4-FFF2-40B4-BE49-F238E27FC236}">
              <a16:creationId xmlns:a16="http://schemas.microsoft.com/office/drawing/2014/main" id="{892CCF12-1861-C364-9F2A-17BD05FC2E2D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2594" name="Line 95">
          <a:extLst>
            <a:ext uri="{FF2B5EF4-FFF2-40B4-BE49-F238E27FC236}">
              <a16:creationId xmlns:a16="http://schemas.microsoft.com/office/drawing/2014/main" id="{4FE09448-C9DB-27FD-0D75-9393EF3A3E84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C55B1C08-C25E-541C-E636-4BA6C324AC96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03BDC007-664B-03FE-563C-687D7C2B4987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2597" name="Line 98">
          <a:extLst>
            <a:ext uri="{FF2B5EF4-FFF2-40B4-BE49-F238E27FC236}">
              <a16:creationId xmlns:a16="http://schemas.microsoft.com/office/drawing/2014/main" id="{302D4BE9-82B4-DF52-36F2-62E0664AC6EA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2598" name="Line 99">
          <a:extLst>
            <a:ext uri="{FF2B5EF4-FFF2-40B4-BE49-F238E27FC236}">
              <a16:creationId xmlns:a16="http://schemas.microsoft.com/office/drawing/2014/main" id="{D637937B-58A5-3654-86D1-67F9EE0EDB3F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2599" name="Line 100">
          <a:extLst>
            <a:ext uri="{FF2B5EF4-FFF2-40B4-BE49-F238E27FC236}">
              <a16:creationId xmlns:a16="http://schemas.microsoft.com/office/drawing/2014/main" id="{D31F93D5-C7C2-9007-7F6D-94FCC24B692F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2600" name="Line 101">
          <a:extLst>
            <a:ext uri="{FF2B5EF4-FFF2-40B4-BE49-F238E27FC236}">
              <a16:creationId xmlns:a16="http://schemas.microsoft.com/office/drawing/2014/main" id="{B1001C64-E636-4922-0AD6-54498973CC66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01" name="Line 102">
          <a:extLst>
            <a:ext uri="{FF2B5EF4-FFF2-40B4-BE49-F238E27FC236}">
              <a16:creationId xmlns:a16="http://schemas.microsoft.com/office/drawing/2014/main" id="{92685878-20AE-5DC8-AC5C-D6E282047CB7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E7EC09B0-E7A6-68CE-B07A-51DB0F6D123F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2603" name="Line 104">
          <a:extLst>
            <a:ext uri="{FF2B5EF4-FFF2-40B4-BE49-F238E27FC236}">
              <a16:creationId xmlns:a16="http://schemas.microsoft.com/office/drawing/2014/main" id="{A70EC744-423A-6A5F-C8B0-0D52808CFA11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D3E92D53-E2C7-F20C-F0AF-7818A8A69CD2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2605" name="Line 106">
          <a:extLst>
            <a:ext uri="{FF2B5EF4-FFF2-40B4-BE49-F238E27FC236}">
              <a16:creationId xmlns:a16="http://schemas.microsoft.com/office/drawing/2014/main" id="{8F726277-EF11-57B4-A7BA-267597C64AA4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B3940CCC-9DF6-625A-2CE6-C32DC77AC158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2607" name="Freeform 108">
          <a:extLst>
            <a:ext uri="{FF2B5EF4-FFF2-40B4-BE49-F238E27FC236}">
              <a16:creationId xmlns:a16="http://schemas.microsoft.com/office/drawing/2014/main" id="{3940F14A-BDCC-C917-BFFF-D206C85DB300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2608" name="Line 109">
          <a:extLst>
            <a:ext uri="{FF2B5EF4-FFF2-40B4-BE49-F238E27FC236}">
              <a16:creationId xmlns:a16="http://schemas.microsoft.com/office/drawing/2014/main" id="{B3FA829C-9DFD-5929-5C39-39E718D5EFB0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2609" name="Line 110">
          <a:extLst>
            <a:ext uri="{FF2B5EF4-FFF2-40B4-BE49-F238E27FC236}">
              <a16:creationId xmlns:a16="http://schemas.microsoft.com/office/drawing/2014/main" id="{2D51A9B6-D344-561B-E478-ACA7EF886EEB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2610" name="Line 111">
          <a:extLst>
            <a:ext uri="{FF2B5EF4-FFF2-40B4-BE49-F238E27FC236}">
              <a16:creationId xmlns:a16="http://schemas.microsoft.com/office/drawing/2014/main" id="{A83CD0C0-B05C-38D0-5D1E-6A3DBC21DD51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2611" name="Line 112">
          <a:extLst>
            <a:ext uri="{FF2B5EF4-FFF2-40B4-BE49-F238E27FC236}">
              <a16:creationId xmlns:a16="http://schemas.microsoft.com/office/drawing/2014/main" id="{06202BE8-2938-0B19-668B-2FAB3D0825AC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2612" name="Line 113">
          <a:extLst>
            <a:ext uri="{FF2B5EF4-FFF2-40B4-BE49-F238E27FC236}">
              <a16:creationId xmlns:a16="http://schemas.microsoft.com/office/drawing/2014/main" id="{616C0505-8E3E-5264-A80F-69E281A432EF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2613" name="Line 114">
          <a:extLst>
            <a:ext uri="{FF2B5EF4-FFF2-40B4-BE49-F238E27FC236}">
              <a16:creationId xmlns:a16="http://schemas.microsoft.com/office/drawing/2014/main" id="{3FFD9522-0096-4C09-1551-76603C5F5E68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2614" name="Line 115">
          <a:extLst>
            <a:ext uri="{FF2B5EF4-FFF2-40B4-BE49-F238E27FC236}">
              <a16:creationId xmlns:a16="http://schemas.microsoft.com/office/drawing/2014/main" id="{A81AFA50-E163-E5C7-5FBC-BF6C1524A45E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2615" name="Line 116">
          <a:extLst>
            <a:ext uri="{FF2B5EF4-FFF2-40B4-BE49-F238E27FC236}">
              <a16:creationId xmlns:a16="http://schemas.microsoft.com/office/drawing/2014/main" id="{880F494B-55AD-9592-27A4-EF5AC1A9F196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2616" name="Line 117">
          <a:extLst>
            <a:ext uri="{FF2B5EF4-FFF2-40B4-BE49-F238E27FC236}">
              <a16:creationId xmlns:a16="http://schemas.microsoft.com/office/drawing/2014/main" id="{50C159F3-6747-FA65-C8D1-6F55D6E8D9C5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2617" name="Line 118">
          <a:extLst>
            <a:ext uri="{FF2B5EF4-FFF2-40B4-BE49-F238E27FC236}">
              <a16:creationId xmlns:a16="http://schemas.microsoft.com/office/drawing/2014/main" id="{327DE64A-DE5E-BD3B-DF58-5C251AED17ED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18" name="Line 119">
          <a:extLst>
            <a:ext uri="{FF2B5EF4-FFF2-40B4-BE49-F238E27FC236}">
              <a16:creationId xmlns:a16="http://schemas.microsoft.com/office/drawing/2014/main" id="{B14394D8-B4A8-9D2E-4AD1-5EB9202ABD68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19" name="Line 120">
          <a:extLst>
            <a:ext uri="{FF2B5EF4-FFF2-40B4-BE49-F238E27FC236}">
              <a16:creationId xmlns:a16="http://schemas.microsoft.com/office/drawing/2014/main" id="{79657C2F-8877-6131-441B-96AC589A7308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20" name="Line 121">
          <a:extLst>
            <a:ext uri="{FF2B5EF4-FFF2-40B4-BE49-F238E27FC236}">
              <a16:creationId xmlns:a16="http://schemas.microsoft.com/office/drawing/2014/main" id="{6118BC0A-7C4A-C94D-0801-CB9C3F1B93B1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2621" name="Line 122">
          <a:extLst>
            <a:ext uri="{FF2B5EF4-FFF2-40B4-BE49-F238E27FC236}">
              <a16:creationId xmlns:a16="http://schemas.microsoft.com/office/drawing/2014/main" id="{D66BB9E1-B144-CBB0-654A-D683AA737278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2622" name="Line 123">
          <a:extLst>
            <a:ext uri="{FF2B5EF4-FFF2-40B4-BE49-F238E27FC236}">
              <a16:creationId xmlns:a16="http://schemas.microsoft.com/office/drawing/2014/main" id="{2A83ED0C-0F98-8ABC-B091-75F004405FE7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2623" name="Line 124">
          <a:extLst>
            <a:ext uri="{FF2B5EF4-FFF2-40B4-BE49-F238E27FC236}">
              <a16:creationId xmlns:a16="http://schemas.microsoft.com/office/drawing/2014/main" id="{0FB68C09-47F2-AED4-AE26-C42909427A95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2624" name="Line 125">
          <a:extLst>
            <a:ext uri="{FF2B5EF4-FFF2-40B4-BE49-F238E27FC236}">
              <a16:creationId xmlns:a16="http://schemas.microsoft.com/office/drawing/2014/main" id="{6491B9DF-5048-E523-774D-FCAB8F7AF6AC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2625" name="Line 126">
          <a:extLst>
            <a:ext uri="{FF2B5EF4-FFF2-40B4-BE49-F238E27FC236}">
              <a16:creationId xmlns:a16="http://schemas.microsoft.com/office/drawing/2014/main" id="{3C4ABCFA-D8B7-74CA-468C-4DCCC9C98012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2626" name="Group 127">
          <a:extLst>
            <a:ext uri="{FF2B5EF4-FFF2-40B4-BE49-F238E27FC236}">
              <a16:creationId xmlns:a16="http://schemas.microsoft.com/office/drawing/2014/main" id="{0D8AD293-6ACD-E37F-F137-A7C730DE976C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2694" name="Oval 128">
            <a:extLst>
              <a:ext uri="{FF2B5EF4-FFF2-40B4-BE49-F238E27FC236}">
                <a16:creationId xmlns:a16="http://schemas.microsoft.com/office/drawing/2014/main" id="{AF5565E5-3517-274B-66CA-C2CB6DEC36E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5" name="Line 129">
            <a:extLst>
              <a:ext uri="{FF2B5EF4-FFF2-40B4-BE49-F238E27FC236}">
                <a16:creationId xmlns:a16="http://schemas.microsoft.com/office/drawing/2014/main" id="{180F14BD-3F4F-615B-453D-148ADD09708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2627" name="Group 130">
          <a:extLst>
            <a:ext uri="{FF2B5EF4-FFF2-40B4-BE49-F238E27FC236}">
              <a16:creationId xmlns:a16="http://schemas.microsoft.com/office/drawing/2014/main" id="{9B5FBEEB-B3A6-3C40-5ECA-BF3B9D6EB23E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2692" name="Oval 131">
            <a:extLst>
              <a:ext uri="{FF2B5EF4-FFF2-40B4-BE49-F238E27FC236}">
                <a16:creationId xmlns:a16="http://schemas.microsoft.com/office/drawing/2014/main" id="{5FB1ED16-C71A-A107-D26D-F68AD8B6476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3" name="Line 132">
            <a:extLst>
              <a:ext uri="{FF2B5EF4-FFF2-40B4-BE49-F238E27FC236}">
                <a16:creationId xmlns:a16="http://schemas.microsoft.com/office/drawing/2014/main" id="{7D74511C-006E-2775-6947-6A01796698A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2628" name="Group 133">
          <a:extLst>
            <a:ext uri="{FF2B5EF4-FFF2-40B4-BE49-F238E27FC236}">
              <a16:creationId xmlns:a16="http://schemas.microsoft.com/office/drawing/2014/main" id="{E1183BBB-0C2B-D321-918B-F9FE182E2C3A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2690" name="Oval 134">
            <a:extLst>
              <a:ext uri="{FF2B5EF4-FFF2-40B4-BE49-F238E27FC236}">
                <a16:creationId xmlns:a16="http://schemas.microsoft.com/office/drawing/2014/main" id="{E807B3C5-CEA1-F996-CE59-615B8C2C383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1" name="Line 135">
            <a:extLst>
              <a:ext uri="{FF2B5EF4-FFF2-40B4-BE49-F238E27FC236}">
                <a16:creationId xmlns:a16="http://schemas.microsoft.com/office/drawing/2014/main" id="{EA03E4F1-FD25-8C6A-CF1A-FE9872B8E17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2629" name="Group 136">
          <a:extLst>
            <a:ext uri="{FF2B5EF4-FFF2-40B4-BE49-F238E27FC236}">
              <a16:creationId xmlns:a16="http://schemas.microsoft.com/office/drawing/2014/main" id="{6DDF5AD0-6C85-CF90-04F2-72F111DA6CFA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2688" name="Oval 137">
            <a:extLst>
              <a:ext uri="{FF2B5EF4-FFF2-40B4-BE49-F238E27FC236}">
                <a16:creationId xmlns:a16="http://schemas.microsoft.com/office/drawing/2014/main" id="{15D3EE7B-ADBF-3509-F689-9460C0FEAA6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9" name="Line 138">
            <a:extLst>
              <a:ext uri="{FF2B5EF4-FFF2-40B4-BE49-F238E27FC236}">
                <a16:creationId xmlns:a16="http://schemas.microsoft.com/office/drawing/2014/main" id="{53F04440-1F77-6B97-A82B-B23C1EDD268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2630" name="Group 139">
          <a:extLst>
            <a:ext uri="{FF2B5EF4-FFF2-40B4-BE49-F238E27FC236}">
              <a16:creationId xmlns:a16="http://schemas.microsoft.com/office/drawing/2014/main" id="{139E3BF7-4473-38A0-1D4F-699A55F52DF5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2686" name="Oval 140">
            <a:extLst>
              <a:ext uri="{FF2B5EF4-FFF2-40B4-BE49-F238E27FC236}">
                <a16:creationId xmlns:a16="http://schemas.microsoft.com/office/drawing/2014/main" id="{3518E822-D48A-45E9-A94F-BC4818E48A6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7" name="Line 141">
            <a:extLst>
              <a:ext uri="{FF2B5EF4-FFF2-40B4-BE49-F238E27FC236}">
                <a16:creationId xmlns:a16="http://schemas.microsoft.com/office/drawing/2014/main" id="{84B57A2B-BFE6-7553-1DDD-F06130D26BB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2631" name="Group 142">
          <a:extLst>
            <a:ext uri="{FF2B5EF4-FFF2-40B4-BE49-F238E27FC236}">
              <a16:creationId xmlns:a16="http://schemas.microsoft.com/office/drawing/2014/main" id="{B2810F8F-319D-D4AC-AA96-C42643DF8928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2684" name="Oval 143">
            <a:extLst>
              <a:ext uri="{FF2B5EF4-FFF2-40B4-BE49-F238E27FC236}">
                <a16:creationId xmlns:a16="http://schemas.microsoft.com/office/drawing/2014/main" id="{64730B94-50FF-801F-F023-23CE9946ABF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5" name="Line 144">
            <a:extLst>
              <a:ext uri="{FF2B5EF4-FFF2-40B4-BE49-F238E27FC236}">
                <a16:creationId xmlns:a16="http://schemas.microsoft.com/office/drawing/2014/main" id="{C0BA3994-E1AF-1C34-43F3-6D3D941ED4E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2632" name="Group 145">
          <a:extLst>
            <a:ext uri="{FF2B5EF4-FFF2-40B4-BE49-F238E27FC236}">
              <a16:creationId xmlns:a16="http://schemas.microsoft.com/office/drawing/2014/main" id="{C8D3C318-BF42-9475-8DF8-37BA56EC2237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2682" name="Oval 146">
            <a:extLst>
              <a:ext uri="{FF2B5EF4-FFF2-40B4-BE49-F238E27FC236}">
                <a16:creationId xmlns:a16="http://schemas.microsoft.com/office/drawing/2014/main" id="{24F8D7B7-BE3A-B6F3-59F2-6923DB579C6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3" name="Line 147">
            <a:extLst>
              <a:ext uri="{FF2B5EF4-FFF2-40B4-BE49-F238E27FC236}">
                <a16:creationId xmlns:a16="http://schemas.microsoft.com/office/drawing/2014/main" id="{1DD6B7E8-FB16-C61B-94E5-2E7E4F8C1D1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73BC6043-DF1E-7208-4D5D-78C17863AEE1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2634" name="Line 149">
          <a:extLst>
            <a:ext uri="{FF2B5EF4-FFF2-40B4-BE49-F238E27FC236}">
              <a16:creationId xmlns:a16="http://schemas.microsoft.com/office/drawing/2014/main" id="{11EC3573-913D-8F8A-D7A0-D2B34962C470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2635" name="Line 150">
          <a:extLst>
            <a:ext uri="{FF2B5EF4-FFF2-40B4-BE49-F238E27FC236}">
              <a16:creationId xmlns:a16="http://schemas.microsoft.com/office/drawing/2014/main" id="{2C314EEB-77B4-4657-3C89-39DD969EF8E0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C920DC55-8B9C-E79B-CE0B-3C303FB8DB17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2637" name="Line 153">
          <a:extLst>
            <a:ext uri="{FF2B5EF4-FFF2-40B4-BE49-F238E27FC236}">
              <a16:creationId xmlns:a16="http://schemas.microsoft.com/office/drawing/2014/main" id="{32AF2ADD-263E-3F59-87FE-D15F8694D487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2638" name="Line 154">
          <a:extLst>
            <a:ext uri="{FF2B5EF4-FFF2-40B4-BE49-F238E27FC236}">
              <a16:creationId xmlns:a16="http://schemas.microsoft.com/office/drawing/2014/main" id="{39DEB95C-335B-73C7-6F0F-225A7F39F3FE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2639" name="Freeform 155">
          <a:extLst>
            <a:ext uri="{FF2B5EF4-FFF2-40B4-BE49-F238E27FC236}">
              <a16:creationId xmlns:a16="http://schemas.microsoft.com/office/drawing/2014/main" id="{4B3FE8B9-71E8-B18A-39A3-6D18A8C341D3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2640" name="Line 156">
          <a:extLst>
            <a:ext uri="{FF2B5EF4-FFF2-40B4-BE49-F238E27FC236}">
              <a16:creationId xmlns:a16="http://schemas.microsoft.com/office/drawing/2014/main" id="{0C342E18-D9BA-2211-7AF8-E3D313B0E15C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2641" name="Line 157">
          <a:extLst>
            <a:ext uri="{FF2B5EF4-FFF2-40B4-BE49-F238E27FC236}">
              <a16:creationId xmlns:a16="http://schemas.microsoft.com/office/drawing/2014/main" id="{28D07770-729C-795A-AD7B-9BBA93068485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2642" name="Line 158">
          <a:extLst>
            <a:ext uri="{FF2B5EF4-FFF2-40B4-BE49-F238E27FC236}">
              <a16:creationId xmlns:a16="http://schemas.microsoft.com/office/drawing/2014/main" id="{699C269C-7CD0-FC06-E03C-68271700F715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2643" name="Line 160">
          <a:extLst>
            <a:ext uri="{FF2B5EF4-FFF2-40B4-BE49-F238E27FC236}">
              <a16:creationId xmlns:a16="http://schemas.microsoft.com/office/drawing/2014/main" id="{C5775FE9-E07D-CB41-67FA-DC0E981539F5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2644" name="Line 161">
          <a:extLst>
            <a:ext uri="{FF2B5EF4-FFF2-40B4-BE49-F238E27FC236}">
              <a16:creationId xmlns:a16="http://schemas.microsoft.com/office/drawing/2014/main" id="{8F84F0D6-85DB-84A5-FF71-DECE76B2B21B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2645" name="Line 162">
          <a:extLst>
            <a:ext uri="{FF2B5EF4-FFF2-40B4-BE49-F238E27FC236}">
              <a16:creationId xmlns:a16="http://schemas.microsoft.com/office/drawing/2014/main" id="{34818ABD-DBFE-16CB-84BD-74F0A7E520BC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2646" name="Line 163">
          <a:extLst>
            <a:ext uri="{FF2B5EF4-FFF2-40B4-BE49-F238E27FC236}">
              <a16:creationId xmlns:a16="http://schemas.microsoft.com/office/drawing/2014/main" id="{2956A3C1-7123-11A3-611A-6DDEB7F0F0F7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2647" name="Line 164">
          <a:extLst>
            <a:ext uri="{FF2B5EF4-FFF2-40B4-BE49-F238E27FC236}">
              <a16:creationId xmlns:a16="http://schemas.microsoft.com/office/drawing/2014/main" id="{DF29068B-7D0C-E17C-0553-97C91FE77AC6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2648" name="Line 165">
          <a:extLst>
            <a:ext uri="{FF2B5EF4-FFF2-40B4-BE49-F238E27FC236}">
              <a16:creationId xmlns:a16="http://schemas.microsoft.com/office/drawing/2014/main" id="{738EC9BA-13C2-B7D6-5EBB-1246C5884C47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2C0BD7C5-CA28-5DD5-18D7-00DEE4CBE9F6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D5DA7F54-5BAF-B5C2-54FF-1593CE1F0559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2651" name="Line 2509">
          <a:extLst>
            <a:ext uri="{FF2B5EF4-FFF2-40B4-BE49-F238E27FC236}">
              <a16:creationId xmlns:a16="http://schemas.microsoft.com/office/drawing/2014/main" id="{B55B5666-82B1-60A5-E99B-4C99034DA253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0F5B1E59-3669-C4F4-5B97-130F3144061D}"/>
            </a:ext>
          </a:extLst>
        </xdr:cNvPr>
        <xdr:cNvCxnSpPr>
          <a:endCxn id="177" idx="1"/>
        </xdr:cNvCxnSpPr>
      </xdr:nvCxnSpPr>
      <xdr:spPr>
        <a:xfrm>
          <a:off x="14590345" y="5786388"/>
          <a:ext cx="566345" cy="1821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FC46E69A-0D7D-C501-5341-BDFC8584A300}"/>
            </a:ext>
          </a:extLst>
        </xdr:cNvPr>
        <xdr:cNvCxnSpPr>
          <a:stCxn id="177" idx="0"/>
        </xdr:cNvCxnSpPr>
      </xdr:nvCxnSpPr>
      <xdr:spPr>
        <a:xfrm rot="16200000" flipV="1">
          <a:off x="14939919" y="5189586"/>
          <a:ext cx="154080" cy="1008059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2654" name="Group 183">
          <a:extLst>
            <a:ext uri="{FF2B5EF4-FFF2-40B4-BE49-F238E27FC236}">
              <a16:creationId xmlns:a16="http://schemas.microsoft.com/office/drawing/2014/main" id="{88790C9A-7ABB-D761-7755-3ABE8D6B1735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60A80BBE-6BA5-156A-D3A2-A5DDB5DCA08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2674" name="Line 2507">
            <a:extLst>
              <a:ext uri="{FF2B5EF4-FFF2-40B4-BE49-F238E27FC236}">
                <a16:creationId xmlns:a16="http://schemas.microsoft.com/office/drawing/2014/main" id="{C4BFB41A-2C03-24A5-5708-875FCF53C588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D822DE02-3C9A-7C54-DE1B-63A564428719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013E44A5-15CB-52E6-E5B8-49AA3187BC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BCD9FA89-B8FB-01C6-5221-18B774D0CAD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7FE4C6B5-423E-BE17-5A27-738387828C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1EA7DCDA-84B8-1039-380C-D86907F93F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2680" name="Line 2515">
            <a:extLst>
              <a:ext uri="{FF2B5EF4-FFF2-40B4-BE49-F238E27FC236}">
                <a16:creationId xmlns:a16="http://schemas.microsoft.com/office/drawing/2014/main" id="{C2DEE2DF-16B5-95CA-3407-4BF340899FB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08C0AE4F-8C31-B6EF-3F3D-842A6852C630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DB6DEE44-2FE5-E1E3-5C9F-B8689764848E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117454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E87997AD-6247-5D21-5138-E56A7EE44802}"/>
            </a:ext>
          </a:extLst>
        </xdr:cNvPr>
        <xdr:cNvSpPr>
          <a:spLocks noChangeArrowheads="1"/>
        </xdr:cNvSpPr>
      </xdr:nvSpPr>
      <xdr:spPr bwMode="auto">
        <a:xfrm>
          <a:off x="15262225" y="11623675"/>
          <a:ext cx="1895475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7E86BAF9-D927-D123-8D33-B8D4E44CF1E9}"/>
            </a:ext>
          </a:extLst>
        </xdr:cNvPr>
        <xdr:cNvSpPr txBox="1">
          <a:spLocks noChangeArrowheads="1"/>
        </xdr:cNvSpPr>
      </xdr:nvSpPr>
      <xdr:spPr bwMode="auto">
        <a:xfrm>
          <a:off x="15290800" y="10629900"/>
          <a:ext cx="1968500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1E5CAA42-1D39-2604-F92F-CDCAFDA2A5DB}"/>
            </a:ext>
          </a:extLst>
        </xdr:cNvPr>
        <xdr:cNvSpPr txBox="1">
          <a:spLocks noChangeArrowheads="1"/>
        </xdr:cNvSpPr>
      </xdr:nvSpPr>
      <xdr:spPr bwMode="auto">
        <a:xfrm>
          <a:off x="15554325" y="13776325"/>
          <a:ext cx="1377950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386080</xdr:colOff>
      <xdr:row>73</xdr:row>
      <xdr:rowOff>0</xdr:rowOff>
    </xdr:from>
    <xdr:to>
      <xdr:col>28</xdr:col>
      <xdr:colOff>199451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B1A4BD8F-C71A-AB85-35C1-A542F125AAAC}"/>
            </a:ext>
          </a:extLst>
        </xdr:cNvPr>
        <xdr:cNvSpPr txBox="1">
          <a:spLocks noChangeArrowheads="1"/>
        </xdr:cNvSpPr>
      </xdr:nvSpPr>
      <xdr:spPr bwMode="auto">
        <a:xfrm>
          <a:off x="180149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289407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749621E5-299F-D409-2494-C3373C54776A}"/>
            </a:ext>
          </a:extLst>
        </xdr:cNvPr>
        <xdr:cNvSpPr txBox="1">
          <a:spLocks noChangeArrowheads="1"/>
        </xdr:cNvSpPr>
      </xdr:nvSpPr>
      <xdr:spPr bwMode="auto">
        <a:xfrm>
          <a:off x="175164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2661" name="Line 2515">
          <a:extLst>
            <a:ext uri="{FF2B5EF4-FFF2-40B4-BE49-F238E27FC236}">
              <a16:creationId xmlns:a16="http://schemas.microsoft.com/office/drawing/2014/main" id="{B6860542-F31D-6508-2BCE-551F038F1B01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483889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0A003B0E-0879-60CC-0F57-0ACD86DCBA63}"/>
            </a:ext>
          </a:extLst>
        </xdr:cNvPr>
        <xdr:cNvCxnSpPr>
          <a:endCxn id="196" idx="3"/>
        </xdr:cNvCxnSpPr>
      </xdr:nvCxnSpPr>
      <xdr:spPr>
        <a:xfrm rot="5400000" flipH="1" flipV="1">
          <a:off x="166266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684D438F-3A97-7644-280E-D01A1C231C94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466975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582037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78A8A2E8-35BD-3388-C326-EF815CBAEC62}"/>
            </a:ext>
          </a:extLst>
        </xdr:cNvPr>
        <xdr:cNvSpPr txBox="1">
          <a:spLocks noChangeArrowheads="1"/>
        </xdr:cNvSpPr>
      </xdr:nvSpPr>
      <xdr:spPr bwMode="auto">
        <a:xfrm>
          <a:off x="182403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5ACCD30B-8D48-1351-C32B-A8108CED6D42}"/>
            </a:ext>
          </a:extLst>
        </xdr:cNvPr>
        <xdr:cNvCxnSpPr>
          <a:stCxn id="182" idx="2"/>
        </xdr:cNvCxnSpPr>
      </xdr:nvCxnSpPr>
      <xdr:spPr>
        <a:xfrm rot="16200000" flipH="1">
          <a:off x="15740937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27</xdr:col>
      <xdr:colOff>24954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620C829D-3017-30A1-58E1-765ED1D0820E}"/>
            </a:ext>
          </a:extLst>
        </xdr:cNvPr>
        <xdr:cNvCxnSpPr>
          <a:stCxn id="182" idx="3"/>
          <a:endCxn id="189" idx="1"/>
        </xdr:cNvCxnSpPr>
      </xdr:nvCxnSpPr>
      <xdr:spPr>
        <a:xfrm>
          <a:off x="172593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10563F94-AF23-DCAA-A9A3-9782681B2F55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068006" y="5663425"/>
          <a:ext cx="676205" cy="42760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386080</xdr:colOff>
      <xdr:row>73</xdr:row>
      <xdr:rowOff>80645</xdr:rowOff>
    </xdr:from>
    <xdr:to>
      <xdr:col>27</xdr:col>
      <xdr:colOff>289973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7240FD92-983C-7699-397C-15A90BCD9A36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0149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117475</xdr:colOff>
      <xdr:row>75</xdr:row>
      <xdr:rowOff>155893</xdr:rowOff>
    </xdr:from>
    <xdr:to>
      <xdr:col>25</xdr:col>
      <xdr:colOff>474212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909FF526-7179-08F2-C5F7-53FF793A432C}"/>
            </a:ext>
          </a:extLst>
        </xdr:cNvPr>
        <xdr:cNvCxnSpPr>
          <a:stCxn id="181" idx="4"/>
          <a:endCxn id="185" idx="1"/>
        </xdr:cNvCxnSpPr>
      </xdr:nvCxnSpPr>
      <xdr:spPr>
        <a:xfrm>
          <a:off x="171577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383735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A516B9CF-FC92-736E-DCE6-429028B97F72}"/>
            </a:ext>
          </a:extLst>
        </xdr:cNvPr>
        <xdr:cNvCxnSpPr>
          <a:stCxn id="185" idx="0"/>
        </xdr:cNvCxnSpPr>
      </xdr:nvCxnSpPr>
      <xdr:spPr>
        <a:xfrm rot="16200000" flipV="1">
          <a:off x="175061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517525</xdr:colOff>
      <xdr:row>52</xdr:row>
      <xdr:rowOff>0</xdr:rowOff>
    </xdr:from>
    <xdr:to>
      <xdr:col>29</xdr:col>
      <xdr:colOff>484089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6BA4B7D9-46B2-0251-3EB9-C46F07103EC9}"/>
            </a:ext>
          </a:extLst>
        </xdr:cNvPr>
        <xdr:cNvSpPr txBox="1">
          <a:spLocks noChangeArrowheads="1"/>
        </xdr:cNvSpPr>
      </xdr:nvSpPr>
      <xdr:spPr bwMode="auto">
        <a:xfrm>
          <a:off x="187483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472123</xdr:colOff>
      <xdr:row>48</xdr:row>
      <xdr:rowOff>12700</xdr:rowOff>
    </xdr:from>
    <xdr:to>
      <xdr:col>30</xdr:col>
      <xdr:colOff>694694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62DD73BB-050C-E731-869A-4C050A152906}"/>
            </a:ext>
          </a:extLst>
        </xdr:cNvPr>
        <xdr:cNvCxnSpPr>
          <a:stCxn id="196" idx="0"/>
        </xdr:cNvCxnSpPr>
      </xdr:nvCxnSpPr>
      <xdr:spPr>
        <a:xfrm rot="5400000" flipH="1" flipV="1">
          <a:off x="197111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3524" name="Rectangle 1">
          <a:extLst>
            <a:ext uri="{FF2B5EF4-FFF2-40B4-BE49-F238E27FC236}">
              <a16:creationId xmlns:a16="http://schemas.microsoft.com/office/drawing/2014/main" id="{293AD793-7F87-C443-A186-C92A7FB6F61B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3525" name="Line 2">
          <a:extLst>
            <a:ext uri="{FF2B5EF4-FFF2-40B4-BE49-F238E27FC236}">
              <a16:creationId xmlns:a16="http://schemas.microsoft.com/office/drawing/2014/main" id="{FD6BFAFF-98DC-25B0-CB0A-45AE99945187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3526" name="Line 3">
          <a:extLst>
            <a:ext uri="{FF2B5EF4-FFF2-40B4-BE49-F238E27FC236}">
              <a16:creationId xmlns:a16="http://schemas.microsoft.com/office/drawing/2014/main" id="{98EBF754-E255-2DA5-5BD0-0231C6111930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7" name="Line 4">
          <a:extLst>
            <a:ext uri="{FF2B5EF4-FFF2-40B4-BE49-F238E27FC236}">
              <a16:creationId xmlns:a16="http://schemas.microsoft.com/office/drawing/2014/main" id="{6B606998-4C54-5FCD-16E7-026DF6CE794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8" name="Line 5">
          <a:extLst>
            <a:ext uri="{FF2B5EF4-FFF2-40B4-BE49-F238E27FC236}">
              <a16:creationId xmlns:a16="http://schemas.microsoft.com/office/drawing/2014/main" id="{F36C66A6-0418-9F08-ED68-A46753D508D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9" name="Line 6">
          <a:extLst>
            <a:ext uri="{FF2B5EF4-FFF2-40B4-BE49-F238E27FC236}">
              <a16:creationId xmlns:a16="http://schemas.microsoft.com/office/drawing/2014/main" id="{644CD95D-C4A2-2BBD-45BC-01E366B2DE5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0" name="Line 7">
          <a:extLst>
            <a:ext uri="{FF2B5EF4-FFF2-40B4-BE49-F238E27FC236}">
              <a16:creationId xmlns:a16="http://schemas.microsoft.com/office/drawing/2014/main" id="{BDCDABF2-2F89-8319-0B6F-F0130BCEC82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1" name="Line 8">
          <a:extLst>
            <a:ext uri="{FF2B5EF4-FFF2-40B4-BE49-F238E27FC236}">
              <a16:creationId xmlns:a16="http://schemas.microsoft.com/office/drawing/2014/main" id="{067F3754-9C02-48BA-20C6-7D6AD7D8CDA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2" name="Line 9">
          <a:extLst>
            <a:ext uri="{FF2B5EF4-FFF2-40B4-BE49-F238E27FC236}">
              <a16:creationId xmlns:a16="http://schemas.microsoft.com/office/drawing/2014/main" id="{CB90ED25-2688-EB9F-CBC8-DACE8C9FD43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3" name="Line 10">
          <a:extLst>
            <a:ext uri="{FF2B5EF4-FFF2-40B4-BE49-F238E27FC236}">
              <a16:creationId xmlns:a16="http://schemas.microsoft.com/office/drawing/2014/main" id="{595763A5-9EF4-FDB1-D2DF-81A31070B7FD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4" name="Line 11">
          <a:extLst>
            <a:ext uri="{FF2B5EF4-FFF2-40B4-BE49-F238E27FC236}">
              <a16:creationId xmlns:a16="http://schemas.microsoft.com/office/drawing/2014/main" id="{A6224EBB-0E2D-614B-A6E9-410F6B6F937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5" name="Line 12">
          <a:extLst>
            <a:ext uri="{FF2B5EF4-FFF2-40B4-BE49-F238E27FC236}">
              <a16:creationId xmlns:a16="http://schemas.microsoft.com/office/drawing/2014/main" id="{E238CE26-301D-02AF-FFB6-099BE5F0CB8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6" name="Line 13">
          <a:extLst>
            <a:ext uri="{FF2B5EF4-FFF2-40B4-BE49-F238E27FC236}">
              <a16:creationId xmlns:a16="http://schemas.microsoft.com/office/drawing/2014/main" id="{B9F48E93-5467-D320-F645-CC69F0CAA0CC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3537" name="Line 14">
          <a:extLst>
            <a:ext uri="{FF2B5EF4-FFF2-40B4-BE49-F238E27FC236}">
              <a16:creationId xmlns:a16="http://schemas.microsoft.com/office/drawing/2014/main" id="{742A3547-957E-4E52-909E-7AE3A7770D92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3538" name="Line 15">
          <a:extLst>
            <a:ext uri="{FF2B5EF4-FFF2-40B4-BE49-F238E27FC236}">
              <a16:creationId xmlns:a16="http://schemas.microsoft.com/office/drawing/2014/main" id="{B3A66EEC-F7F1-1070-51EB-CDAC2FA4AD42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9" name="Line 16">
          <a:extLst>
            <a:ext uri="{FF2B5EF4-FFF2-40B4-BE49-F238E27FC236}">
              <a16:creationId xmlns:a16="http://schemas.microsoft.com/office/drawing/2014/main" id="{710F4D0B-2A72-C807-0BB3-5B748A3393B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3540" name="Line 17">
          <a:extLst>
            <a:ext uri="{FF2B5EF4-FFF2-40B4-BE49-F238E27FC236}">
              <a16:creationId xmlns:a16="http://schemas.microsoft.com/office/drawing/2014/main" id="{A45F6676-6C6F-DD2E-29B3-ED41BE268A02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3541" name="Line 18">
          <a:extLst>
            <a:ext uri="{FF2B5EF4-FFF2-40B4-BE49-F238E27FC236}">
              <a16:creationId xmlns:a16="http://schemas.microsoft.com/office/drawing/2014/main" id="{536CB680-2130-4813-A19C-C8CAD025EE9E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2" name="Line 19">
          <a:extLst>
            <a:ext uri="{FF2B5EF4-FFF2-40B4-BE49-F238E27FC236}">
              <a16:creationId xmlns:a16="http://schemas.microsoft.com/office/drawing/2014/main" id="{49F767B6-E4A4-3DF2-9B57-A9A47B5752AD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3" name="Line 20">
          <a:extLst>
            <a:ext uri="{FF2B5EF4-FFF2-40B4-BE49-F238E27FC236}">
              <a16:creationId xmlns:a16="http://schemas.microsoft.com/office/drawing/2014/main" id="{17AC978F-07D5-1DA7-94B2-85F7679EFC3C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4" name="Line 21">
          <a:extLst>
            <a:ext uri="{FF2B5EF4-FFF2-40B4-BE49-F238E27FC236}">
              <a16:creationId xmlns:a16="http://schemas.microsoft.com/office/drawing/2014/main" id="{0CD1AC68-50EA-F5C5-5FDA-F7B17F16EE96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5" name="Line 22">
          <a:extLst>
            <a:ext uri="{FF2B5EF4-FFF2-40B4-BE49-F238E27FC236}">
              <a16:creationId xmlns:a16="http://schemas.microsoft.com/office/drawing/2014/main" id="{4F124FC7-4708-E5A7-BB34-813F0D3D22FB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6" name="Line 23">
          <a:extLst>
            <a:ext uri="{FF2B5EF4-FFF2-40B4-BE49-F238E27FC236}">
              <a16:creationId xmlns:a16="http://schemas.microsoft.com/office/drawing/2014/main" id="{0A15BF31-9FD4-D5B5-9445-864876FA6182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7" name="Line 24">
          <a:extLst>
            <a:ext uri="{FF2B5EF4-FFF2-40B4-BE49-F238E27FC236}">
              <a16:creationId xmlns:a16="http://schemas.microsoft.com/office/drawing/2014/main" id="{F4495D79-3B47-8013-395C-C4634B515E07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8" name="Line 25">
          <a:extLst>
            <a:ext uri="{FF2B5EF4-FFF2-40B4-BE49-F238E27FC236}">
              <a16:creationId xmlns:a16="http://schemas.microsoft.com/office/drawing/2014/main" id="{09F75F22-4A62-7C47-FCE7-990D3D348C9D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FF5DE875-679A-1EBC-0EDC-C1AF09B0FFD4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3550" name="Line 27">
          <a:extLst>
            <a:ext uri="{FF2B5EF4-FFF2-40B4-BE49-F238E27FC236}">
              <a16:creationId xmlns:a16="http://schemas.microsoft.com/office/drawing/2014/main" id="{B261B05D-E6D6-B6D6-81AF-00A93B8DAF9B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3551" name="Line 28">
          <a:extLst>
            <a:ext uri="{FF2B5EF4-FFF2-40B4-BE49-F238E27FC236}">
              <a16:creationId xmlns:a16="http://schemas.microsoft.com/office/drawing/2014/main" id="{DA44719E-DD85-F3D5-646C-73A1F2270584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FC419A45-0993-9900-910C-D60D3475F6E6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3" name="Line 30">
          <a:extLst>
            <a:ext uri="{FF2B5EF4-FFF2-40B4-BE49-F238E27FC236}">
              <a16:creationId xmlns:a16="http://schemas.microsoft.com/office/drawing/2014/main" id="{AA4A5C19-D588-51A4-B33E-FFA9FC23E65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4" name="Line 31">
          <a:extLst>
            <a:ext uri="{FF2B5EF4-FFF2-40B4-BE49-F238E27FC236}">
              <a16:creationId xmlns:a16="http://schemas.microsoft.com/office/drawing/2014/main" id="{80F9645D-79D5-6A31-DF4F-92382FA5924B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5" name="Line 32">
          <a:extLst>
            <a:ext uri="{FF2B5EF4-FFF2-40B4-BE49-F238E27FC236}">
              <a16:creationId xmlns:a16="http://schemas.microsoft.com/office/drawing/2014/main" id="{FF947788-1FB0-C3E1-8257-A6B425013F65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6" name="Line 33">
          <a:extLst>
            <a:ext uri="{FF2B5EF4-FFF2-40B4-BE49-F238E27FC236}">
              <a16:creationId xmlns:a16="http://schemas.microsoft.com/office/drawing/2014/main" id="{6B644C0B-D3B0-C3C8-4A39-BC627E93F6F3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3557" name="Rectangle 34">
          <a:extLst>
            <a:ext uri="{FF2B5EF4-FFF2-40B4-BE49-F238E27FC236}">
              <a16:creationId xmlns:a16="http://schemas.microsoft.com/office/drawing/2014/main" id="{25643062-8DA9-D80B-628E-CE26FD1F51D2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3558" name="Line 35">
          <a:extLst>
            <a:ext uri="{FF2B5EF4-FFF2-40B4-BE49-F238E27FC236}">
              <a16:creationId xmlns:a16="http://schemas.microsoft.com/office/drawing/2014/main" id="{88F57F83-0BA1-810D-B805-C704A84CE294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3559" name="Line 36">
          <a:extLst>
            <a:ext uri="{FF2B5EF4-FFF2-40B4-BE49-F238E27FC236}">
              <a16:creationId xmlns:a16="http://schemas.microsoft.com/office/drawing/2014/main" id="{D5C598CD-3E8D-3BBC-3288-263465BB756C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0" name="Line 37">
          <a:extLst>
            <a:ext uri="{FF2B5EF4-FFF2-40B4-BE49-F238E27FC236}">
              <a16:creationId xmlns:a16="http://schemas.microsoft.com/office/drawing/2014/main" id="{51F34925-392A-041D-C93A-C6285C39277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1" name="Line 38">
          <a:extLst>
            <a:ext uri="{FF2B5EF4-FFF2-40B4-BE49-F238E27FC236}">
              <a16:creationId xmlns:a16="http://schemas.microsoft.com/office/drawing/2014/main" id="{68736127-8BD0-DCBC-DA4B-56CF06C8548F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2" name="Line 39">
          <a:extLst>
            <a:ext uri="{FF2B5EF4-FFF2-40B4-BE49-F238E27FC236}">
              <a16:creationId xmlns:a16="http://schemas.microsoft.com/office/drawing/2014/main" id="{698D1B63-C72C-C864-7113-664EC8753B9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3" name="Line 40">
          <a:extLst>
            <a:ext uri="{FF2B5EF4-FFF2-40B4-BE49-F238E27FC236}">
              <a16:creationId xmlns:a16="http://schemas.microsoft.com/office/drawing/2014/main" id="{0F718BAD-16F4-20B6-F16A-4896BA8DBFA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4" name="Line 41">
          <a:extLst>
            <a:ext uri="{FF2B5EF4-FFF2-40B4-BE49-F238E27FC236}">
              <a16:creationId xmlns:a16="http://schemas.microsoft.com/office/drawing/2014/main" id="{23BF9C06-5C3A-1D14-3FF6-687140A6288A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5" name="Line 42">
          <a:extLst>
            <a:ext uri="{FF2B5EF4-FFF2-40B4-BE49-F238E27FC236}">
              <a16:creationId xmlns:a16="http://schemas.microsoft.com/office/drawing/2014/main" id="{BBCBADAF-E23B-E2F7-635E-9D20752F9A80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6" name="Line 43">
          <a:extLst>
            <a:ext uri="{FF2B5EF4-FFF2-40B4-BE49-F238E27FC236}">
              <a16:creationId xmlns:a16="http://schemas.microsoft.com/office/drawing/2014/main" id="{4AA9C8B5-AE0B-1C72-3523-FF9797CF5339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7" name="Line 44">
          <a:extLst>
            <a:ext uri="{FF2B5EF4-FFF2-40B4-BE49-F238E27FC236}">
              <a16:creationId xmlns:a16="http://schemas.microsoft.com/office/drawing/2014/main" id="{51FC1224-D5FE-F23B-91C1-76AC01CB97D1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8" name="Line 45">
          <a:extLst>
            <a:ext uri="{FF2B5EF4-FFF2-40B4-BE49-F238E27FC236}">
              <a16:creationId xmlns:a16="http://schemas.microsoft.com/office/drawing/2014/main" id="{C7D940ED-9D0E-1AB9-418F-252C6EE62075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9" name="Line 46">
          <a:extLst>
            <a:ext uri="{FF2B5EF4-FFF2-40B4-BE49-F238E27FC236}">
              <a16:creationId xmlns:a16="http://schemas.microsoft.com/office/drawing/2014/main" id="{F4E54269-8384-C7EE-C5D1-5C2EB8501463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3570" name="Line 47">
          <a:extLst>
            <a:ext uri="{FF2B5EF4-FFF2-40B4-BE49-F238E27FC236}">
              <a16:creationId xmlns:a16="http://schemas.microsoft.com/office/drawing/2014/main" id="{3F7C7E7C-DAD2-4E08-E5DB-EAEE797B6F18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3571" name="Line 48">
          <a:extLst>
            <a:ext uri="{FF2B5EF4-FFF2-40B4-BE49-F238E27FC236}">
              <a16:creationId xmlns:a16="http://schemas.microsoft.com/office/drawing/2014/main" id="{108237EE-8FB9-F030-D15D-F682480340E8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72" name="Line 49">
          <a:extLst>
            <a:ext uri="{FF2B5EF4-FFF2-40B4-BE49-F238E27FC236}">
              <a16:creationId xmlns:a16="http://schemas.microsoft.com/office/drawing/2014/main" id="{D37D1A73-10A3-1F95-84E9-038E4F9F3C07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3573" name="Line 50">
          <a:extLst>
            <a:ext uri="{FF2B5EF4-FFF2-40B4-BE49-F238E27FC236}">
              <a16:creationId xmlns:a16="http://schemas.microsoft.com/office/drawing/2014/main" id="{0F26006C-AD18-F184-B40A-5CF2998A9381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3574" name="Line 51">
          <a:extLst>
            <a:ext uri="{FF2B5EF4-FFF2-40B4-BE49-F238E27FC236}">
              <a16:creationId xmlns:a16="http://schemas.microsoft.com/office/drawing/2014/main" id="{6ED4CABF-5F1D-7045-326D-C29D65A9A069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75" name="Line 52">
          <a:extLst>
            <a:ext uri="{FF2B5EF4-FFF2-40B4-BE49-F238E27FC236}">
              <a16:creationId xmlns:a16="http://schemas.microsoft.com/office/drawing/2014/main" id="{D2E15F88-31FB-EACD-648C-2105201A4ECC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76" name="Line 53">
          <a:extLst>
            <a:ext uri="{FF2B5EF4-FFF2-40B4-BE49-F238E27FC236}">
              <a16:creationId xmlns:a16="http://schemas.microsoft.com/office/drawing/2014/main" id="{F9DDE104-2A40-9A39-FB59-2FA1F68EB145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77" name="Line 54">
          <a:extLst>
            <a:ext uri="{FF2B5EF4-FFF2-40B4-BE49-F238E27FC236}">
              <a16:creationId xmlns:a16="http://schemas.microsoft.com/office/drawing/2014/main" id="{3C229704-36F4-418B-946E-0EAB095CD29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3578" name="Line 55">
          <a:extLst>
            <a:ext uri="{FF2B5EF4-FFF2-40B4-BE49-F238E27FC236}">
              <a16:creationId xmlns:a16="http://schemas.microsoft.com/office/drawing/2014/main" id="{7356A469-4600-8F2B-3C4F-F9CE1BC4C31A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393E1DB4-9FEC-A672-267A-876697A02837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6B4AEAAA-3097-288E-D54D-B969DDA68539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F76A5FD5-D991-CE9F-081C-F0720C94012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C2F5D780-22DE-DE3B-1EA5-73E70EC64F6D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0CB28F11-7907-46F0-D734-1E89A7328979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960DB433-235A-63C7-79F4-844071D36D48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3585" name="Line 62">
          <a:extLst>
            <a:ext uri="{FF2B5EF4-FFF2-40B4-BE49-F238E27FC236}">
              <a16:creationId xmlns:a16="http://schemas.microsoft.com/office/drawing/2014/main" id="{59A349C0-C3EF-023F-616F-25220B82BFA5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3586" name="Line 63">
          <a:extLst>
            <a:ext uri="{FF2B5EF4-FFF2-40B4-BE49-F238E27FC236}">
              <a16:creationId xmlns:a16="http://schemas.microsoft.com/office/drawing/2014/main" id="{A6933C4C-A842-3727-37AC-A5ACEDBADCC2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3587" name="Line 64">
          <a:extLst>
            <a:ext uri="{FF2B5EF4-FFF2-40B4-BE49-F238E27FC236}">
              <a16:creationId xmlns:a16="http://schemas.microsoft.com/office/drawing/2014/main" id="{DD8803D4-E970-67F9-98D7-9EF3D249F596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3588" name="Line 65">
          <a:extLst>
            <a:ext uri="{FF2B5EF4-FFF2-40B4-BE49-F238E27FC236}">
              <a16:creationId xmlns:a16="http://schemas.microsoft.com/office/drawing/2014/main" id="{63E6A8F2-68B9-3E86-6DB1-31DE88EEDE4F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3589" name="Line 66">
          <a:extLst>
            <a:ext uri="{FF2B5EF4-FFF2-40B4-BE49-F238E27FC236}">
              <a16:creationId xmlns:a16="http://schemas.microsoft.com/office/drawing/2014/main" id="{4BB6FC38-4F2C-C7CE-7682-96D6F6DECAC1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3590" name="Line 67">
          <a:extLst>
            <a:ext uri="{FF2B5EF4-FFF2-40B4-BE49-F238E27FC236}">
              <a16:creationId xmlns:a16="http://schemas.microsoft.com/office/drawing/2014/main" id="{57E3879B-7B7B-C927-DEA8-88EC2F0F9AF0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97B02EC4-9F02-FE99-DC11-80C491B37C32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3592" name="Line 69">
          <a:extLst>
            <a:ext uri="{FF2B5EF4-FFF2-40B4-BE49-F238E27FC236}">
              <a16:creationId xmlns:a16="http://schemas.microsoft.com/office/drawing/2014/main" id="{D30439B1-C642-D343-C416-0758A39566A1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48C89C00-718E-F441-95D3-AC73C93E8994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3594" name="Line 71">
          <a:extLst>
            <a:ext uri="{FF2B5EF4-FFF2-40B4-BE49-F238E27FC236}">
              <a16:creationId xmlns:a16="http://schemas.microsoft.com/office/drawing/2014/main" id="{2B685EB1-5AE2-2B29-4ED5-4B3F57BAD04E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3595" name="Line 72">
          <a:extLst>
            <a:ext uri="{FF2B5EF4-FFF2-40B4-BE49-F238E27FC236}">
              <a16:creationId xmlns:a16="http://schemas.microsoft.com/office/drawing/2014/main" id="{F5C7B7C5-DA55-2F89-FC92-86A74075F124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3596" name="Line 73">
          <a:extLst>
            <a:ext uri="{FF2B5EF4-FFF2-40B4-BE49-F238E27FC236}">
              <a16:creationId xmlns:a16="http://schemas.microsoft.com/office/drawing/2014/main" id="{16A6D585-050B-214E-C52E-A70255BB810E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97CC981F-E92D-78D4-C793-BD007290DDC0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6B7F1CCE-F2B6-5129-7C49-200F170517B0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D2C91E04-D3F9-B5CF-A7BE-632F97005E9F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79AE4081-A90C-F441-9187-76ACB79DE5D5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3601" name="Line 78">
          <a:extLst>
            <a:ext uri="{FF2B5EF4-FFF2-40B4-BE49-F238E27FC236}">
              <a16:creationId xmlns:a16="http://schemas.microsoft.com/office/drawing/2014/main" id="{C15062C0-112D-FD2A-2EFB-40545A055C12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3602" name="Line 79">
          <a:extLst>
            <a:ext uri="{FF2B5EF4-FFF2-40B4-BE49-F238E27FC236}">
              <a16:creationId xmlns:a16="http://schemas.microsoft.com/office/drawing/2014/main" id="{50BD2F1C-019B-ECC6-3C68-5F29A32C963E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3603" name="Line 80">
          <a:extLst>
            <a:ext uri="{FF2B5EF4-FFF2-40B4-BE49-F238E27FC236}">
              <a16:creationId xmlns:a16="http://schemas.microsoft.com/office/drawing/2014/main" id="{8AD4A4E2-363D-E2BC-2895-91615C92572D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3604" name="Line 81">
          <a:extLst>
            <a:ext uri="{FF2B5EF4-FFF2-40B4-BE49-F238E27FC236}">
              <a16:creationId xmlns:a16="http://schemas.microsoft.com/office/drawing/2014/main" id="{26B094A8-E777-73C8-D0E1-A1CBED515DFD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3605" name="Line 82">
          <a:extLst>
            <a:ext uri="{FF2B5EF4-FFF2-40B4-BE49-F238E27FC236}">
              <a16:creationId xmlns:a16="http://schemas.microsoft.com/office/drawing/2014/main" id="{7F63131E-0BFF-98C8-8593-BB9AF0A04890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3606" name="Line 83">
          <a:extLst>
            <a:ext uri="{FF2B5EF4-FFF2-40B4-BE49-F238E27FC236}">
              <a16:creationId xmlns:a16="http://schemas.microsoft.com/office/drawing/2014/main" id="{7066BB2C-D7FD-7D3E-3473-0FB2ED9CE724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BCA55DC6-D8CB-3FFF-AFC1-620905C61D27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3608" name="Line 85">
          <a:extLst>
            <a:ext uri="{FF2B5EF4-FFF2-40B4-BE49-F238E27FC236}">
              <a16:creationId xmlns:a16="http://schemas.microsoft.com/office/drawing/2014/main" id="{3E0D97B6-C87C-AA98-5A92-3EB4BD55B1E4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3609" name="Line 86">
          <a:extLst>
            <a:ext uri="{FF2B5EF4-FFF2-40B4-BE49-F238E27FC236}">
              <a16:creationId xmlns:a16="http://schemas.microsoft.com/office/drawing/2014/main" id="{46AA6E0D-EDC5-4B3D-FDF9-D141556AAFE3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394377DD-810D-3B4E-8F9F-3E99E0C3B9E8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3611" name="Line 88">
          <a:extLst>
            <a:ext uri="{FF2B5EF4-FFF2-40B4-BE49-F238E27FC236}">
              <a16:creationId xmlns:a16="http://schemas.microsoft.com/office/drawing/2014/main" id="{B4473C2C-01C3-FB54-B59B-0638A5F087F1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3612" name="Line 89">
          <a:extLst>
            <a:ext uri="{FF2B5EF4-FFF2-40B4-BE49-F238E27FC236}">
              <a16:creationId xmlns:a16="http://schemas.microsoft.com/office/drawing/2014/main" id="{2FBF7C47-0EFE-D365-B514-3E3CD983E1E9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3613" name="Line 90">
          <a:extLst>
            <a:ext uri="{FF2B5EF4-FFF2-40B4-BE49-F238E27FC236}">
              <a16:creationId xmlns:a16="http://schemas.microsoft.com/office/drawing/2014/main" id="{E0FAA815-9561-6E47-73A9-BA1503241DF3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3614" name="Line 91">
          <a:extLst>
            <a:ext uri="{FF2B5EF4-FFF2-40B4-BE49-F238E27FC236}">
              <a16:creationId xmlns:a16="http://schemas.microsoft.com/office/drawing/2014/main" id="{DC9A2BD3-C2C1-6229-524B-95BA6B284269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3615" name="Line 92">
          <a:extLst>
            <a:ext uri="{FF2B5EF4-FFF2-40B4-BE49-F238E27FC236}">
              <a16:creationId xmlns:a16="http://schemas.microsoft.com/office/drawing/2014/main" id="{76F2EDED-B5BD-B888-0674-E8836629D9B0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3616" name="AutoShape 93" descr="Stationery">
          <a:extLst>
            <a:ext uri="{FF2B5EF4-FFF2-40B4-BE49-F238E27FC236}">
              <a16:creationId xmlns:a16="http://schemas.microsoft.com/office/drawing/2014/main" id="{BBF070E3-0DD7-4644-7AEA-AA43D078E3F4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3617" name="Line 94">
          <a:extLst>
            <a:ext uri="{FF2B5EF4-FFF2-40B4-BE49-F238E27FC236}">
              <a16:creationId xmlns:a16="http://schemas.microsoft.com/office/drawing/2014/main" id="{AD77A4C6-ED26-9251-8234-42801B4A3995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3618" name="Line 95">
          <a:extLst>
            <a:ext uri="{FF2B5EF4-FFF2-40B4-BE49-F238E27FC236}">
              <a16:creationId xmlns:a16="http://schemas.microsoft.com/office/drawing/2014/main" id="{C7E19E52-6F9C-0C53-4AD3-153864E64627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2C36E1A4-A4A8-A63C-FA69-9C70113CC985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C09F8247-9CC5-3B7A-B877-65CFCFB1A7C0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3621" name="Line 98">
          <a:extLst>
            <a:ext uri="{FF2B5EF4-FFF2-40B4-BE49-F238E27FC236}">
              <a16:creationId xmlns:a16="http://schemas.microsoft.com/office/drawing/2014/main" id="{BF15562C-CDFF-4E3F-DF40-DECFF543F6A3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3622" name="Line 99">
          <a:extLst>
            <a:ext uri="{FF2B5EF4-FFF2-40B4-BE49-F238E27FC236}">
              <a16:creationId xmlns:a16="http://schemas.microsoft.com/office/drawing/2014/main" id="{BD89EFE3-7289-9915-4543-1C2348612D1C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3623" name="Line 100">
          <a:extLst>
            <a:ext uri="{FF2B5EF4-FFF2-40B4-BE49-F238E27FC236}">
              <a16:creationId xmlns:a16="http://schemas.microsoft.com/office/drawing/2014/main" id="{999F9E6C-76FA-E3B8-C088-E6516119D3A1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3624" name="Line 101">
          <a:extLst>
            <a:ext uri="{FF2B5EF4-FFF2-40B4-BE49-F238E27FC236}">
              <a16:creationId xmlns:a16="http://schemas.microsoft.com/office/drawing/2014/main" id="{66DF5AD1-CCC9-DFED-2695-21D2B1E0D911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25" name="Line 102">
          <a:extLst>
            <a:ext uri="{FF2B5EF4-FFF2-40B4-BE49-F238E27FC236}">
              <a16:creationId xmlns:a16="http://schemas.microsoft.com/office/drawing/2014/main" id="{1DA35A65-EF6E-1DFC-756F-B39D969AA11E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CB2869DF-F8CB-1600-7A74-54ACE4A15409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3627" name="Line 104">
          <a:extLst>
            <a:ext uri="{FF2B5EF4-FFF2-40B4-BE49-F238E27FC236}">
              <a16:creationId xmlns:a16="http://schemas.microsoft.com/office/drawing/2014/main" id="{121D74A8-1762-C2B2-FB2D-99F7C1C51B05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E82FF8AD-9667-EB7E-5534-520EA3E7ADC7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3629" name="Line 106">
          <a:extLst>
            <a:ext uri="{FF2B5EF4-FFF2-40B4-BE49-F238E27FC236}">
              <a16:creationId xmlns:a16="http://schemas.microsoft.com/office/drawing/2014/main" id="{D742422E-F21D-7213-62C1-6F9436AF7645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3546F2FD-3A1C-3438-BE5C-B33482CB305B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3631" name="Freeform 108">
          <a:extLst>
            <a:ext uri="{FF2B5EF4-FFF2-40B4-BE49-F238E27FC236}">
              <a16:creationId xmlns:a16="http://schemas.microsoft.com/office/drawing/2014/main" id="{AD550E21-AAE4-97D3-8E2A-88F40CE74951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3632" name="Line 109">
          <a:extLst>
            <a:ext uri="{FF2B5EF4-FFF2-40B4-BE49-F238E27FC236}">
              <a16:creationId xmlns:a16="http://schemas.microsoft.com/office/drawing/2014/main" id="{92EB30E6-A9AC-5636-A3D5-17821D0829F2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3633" name="Line 110">
          <a:extLst>
            <a:ext uri="{FF2B5EF4-FFF2-40B4-BE49-F238E27FC236}">
              <a16:creationId xmlns:a16="http://schemas.microsoft.com/office/drawing/2014/main" id="{F4DA462C-6D3C-32D9-49CD-60BAB5E770A0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3634" name="Line 111">
          <a:extLst>
            <a:ext uri="{FF2B5EF4-FFF2-40B4-BE49-F238E27FC236}">
              <a16:creationId xmlns:a16="http://schemas.microsoft.com/office/drawing/2014/main" id="{27608FD5-FD45-29D9-545B-91BA6562EFD4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3635" name="Line 112">
          <a:extLst>
            <a:ext uri="{FF2B5EF4-FFF2-40B4-BE49-F238E27FC236}">
              <a16:creationId xmlns:a16="http://schemas.microsoft.com/office/drawing/2014/main" id="{455709F5-7573-FB0C-33FD-6E9832A523F3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3636" name="Line 113">
          <a:extLst>
            <a:ext uri="{FF2B5EF4-FFF2-40B4-BE49-F238E27FC236}">
              <a16:creationId xmlns:a16="http://schemas.microsoft.com/office/drawing/2014/main" id="{B6A91906-F175-0EF0-DFEB-BD1E28A82453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3637" name="Line 114">
          <a:extLst>
            <a:ext uri="{FF2B5EF4-FFF2-40B4-BE49-F238E27FC236}">
              <a16:creationId xmlns:a16="http://schemas.microsoft.com/office/drawing/2014/main" id="{7E47C1F4-EDC4-9E94-9CCB-13FA53B6E7C8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3638" name="Line 115">
          <a:extLst>
            <a:ext uri="{FF2B5EF4-FFF2-40B4-BE49-F238E27FC236}">
              <a16:creationId xmlns:a16="http://schemas.microsoft.com/office/drawing/2014/main" id="{BCFF5243-9428-6A98-92D8-81E08F7FDD70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3639" name="Line 116">
          <a:extLst>
            <a:ext uri="{FF2B5EF4-FFF2-40B4-BE49-F238E27FC236}">
              <a16:creationId xmlns:a16="http://schemas.microsoft.com/office/drawing/2014/main" id="{F7363D0A-BBB0-995F-4B81-799CC298C893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3640" name="Line 117">
          <a:extLst>
            <a:ext uri="{FF2B5EF4-FFF2-40B4-BE49-F238E27FC236}">
              <a16:creationId xmlns:a16="http://schemas.microsoft.com/office/drawing/2014/main" id="{10715CA0-5244-B8B9-D21C-526C1D38596E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3641" name="Line 118">
          <a:extLst>
            <a:ext uri="{FF2B5EF4-FFF2-40B4-BE49-F238E27FC236}">
              <a16:creationId xmlns:a16="http://schemas.microsoft.com/office/drawing/2014/main" id="{F1038088-98DB-B4CE-D367-895A9B8CC814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2" name="Line 119">
          <a:extLst>
            <a:ext uri="{FF2B5EF4-FFF2-40B4-BE49-F238E27FC236}">
              <a16:creationId xmlns:a16="http://schemas.microsoft.com/office/drawing/2014/main" id="{40311808-8BBD-53AC-F05F-0B9407AAE30B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3" name="Line 120">
          <a:extLst>
            <a:ext uri="{FF2B5EF4-FFF2-40B4-BE49-F238E27FC236}">
              <a16:creationId xmlns:a16="http://schemas.microsoft.com/office/drawing/2014/main" id="{12BDAF0E-E6F5-D0FF-1DEC-FCC552224525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4" name="Line 121">
          <a:extLst>
            <a:ext uri="{FF2B5EF4-FFF2-40B4-BE49-F238E27FC236}">
              <a16:creationId xmlns:a16="http://schemas.microsoft.com/office/drawing/2014/main" id="{1529FEE9-8DC8-5699-C5DA-18C1018F4D63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3645" name="Line 122">
          <a:extLst>
            <a:ext uri="{FF2B5EF4-FFF2-40B4-BE49-F238E27FC236}">
              <a16:creationId xmlns:a16="http://schemas.microsoft.com/office/drawing/2014/main" id="{8771EAE0-A562-50FC-241B-2C15AAC2363B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3646" name="Line 123">
          <a:extLst>
            <a:ext uri="{FF2B5EF4-FFF2-40B4-BE49-F238E27FC236}">
              <a16:creationId xmlns:a16="http://schemas.microsoft.com/office/drawing/2014/main" id="{F99B35AD-D7EE-5A05-2C68-0E64F10D8919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3647" name="Line 124">
          <a:extLst>
            <a:ext uri="{FF2B5EF4-FFF2-40B4-BE49-F238E27FC236}">
              <a16:creationId xmlns:a16="http://schemas.microsoft.com/office/drawing/2014/main" id="{3A4804BE-8C95-DEA8-D4FA-1E61427FC06E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3648" name="Line 125">
          <a:extLst>
            <a:ext uri="{FF2B5EF4-FFF2-40B4-BE49-F238E27FC236}">
              <a16:creationId xmlns:a16="http://schemas.microsoft.com/office/drawing/2014/main" id="{2EAA7B81-7CAD-CBC6-1381-63925FB9D690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3649" name="Line 126">
          <a:extLst>
            <a:ext uri="{FF2B5EF4-FFF2-40B4-BE49-F238E27FC236}">
              <a16:creationId xmlns:a16="http://schemas.microsoft.com/office/drawing/2014/main" id="{147075AA-13DA-936F-9C80-C9B22959EC4A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3650" name="Group 127">
          <a:extLst>
            <a:ext uri="{FF2B5EF4-FFF2-40B4-BE49-F238E27FC236}">
              <a16:creationId xmlns:a16="http://schemas.microsoft.com/office/drawing/2014/main" id="{C767B925-9FFB-90D2-0D62-0608B35CDEAC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3718" name="Oval 128">
            <a:extLst>
              <a:ext uri="{FF2B5EF4-FFF2-40B4-BE49-F238E27FC236}">
                <a16:creationId xmlns:a16="http://schemas.microsoft.com/office/drawing/2014/main" id="{41A95F47-56BC-ABE9-D7DB-3D6F144B563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9" name="Line 129">
            <a:extLst>
              <a:ext uri="{FF2B5EF4-FFF2-40B4-BE49-F238E27FC236}">
                <a16:creationId xmlns:a16="http://schemas.microsoft.com/office/drawing/2014/main" id="{95A98B7C-BE6F-154F-6C94-A4AEE9D198C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3651" name="Group 130">
          <a:extLst>
            <a:ext uri="{FF2B5EF4-FFF2-40B4-BE49-F238E27FC236}">
              <a16:creationId xmlns:a16="http://schemas.microsoft.com/office/drawing/2014/main" id="{EFF3C1CA-1A6C-195D-4429-9A83304B7026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3716" name="Oval 131">
            <a:extLst>
              <a:ext uri="{FF2B5EF4-FFF2-40B4-BE49-F238E27FC236}">
                <a16:creationId xmlns:a16="http://schemas.microsoft.com/office/drawing/2014/main" id="{DBD40A8E-3DC7-A179-D1BB-E3E014E4E03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7" name="Line 132">
            <a:extLst>
              <a:ext uri="{FF2B5EF4-FFF2-40B4-BE49-F238E27FC236}">
                <a16:creationId xmlns:a16="http://schemas.microsoft.com/office/drawing/2014/main" id="{BCABE5AC-5758-86FD-2A2A-00B57656119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3652" name="Group 133">
          <a:extLst>
            <a:ext uri="{FF2B5EF4-FFF2-40B4-BE49-F238E27FC236}">
              <a16:creationId xmlns:a16="http://schemas.microsoft.com/office/drawing/2014/main" id="{8F0C38F4-CF5A-3D64-013A-DAF181FD46AC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3714" name="Oval 134">
            <a:extLst>
              <a:ext uri="{FF2B5EF4-FFF2-40B4-BE49-F238E27FC236}">
                <a16:creationId xmlns:a16="http://schemas.microsoft.com/office/drawing/2014/main" id="{2D6673A2-FE76-9AFA-D6F2-A89EA0648C2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5" name="Line 135">
            <a:extLst>
              <a:ext uri="{FF2B5EF4-FFF2-40B4-BE49-F238E27FC236}">
                <a16:creationId xmlns:a16="http://schemas.microsoft.com/office/drawing/2014/main" id="{327D2450-98E7-F645-4CCB-58AE8EB2508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3653" name="Group 136">
          <a:extLst>
            <a:ext uri="{FF2B5EF4-FFF2-40B4-BE49-F238E27FC236}">
              <a16:creationId xmlns:a16="http://schemas.microsoft.com/office/drawing/2014/main" id="{D0D098B9-B87B-8BAA-75EB-B671DB81483A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3712" name="Oval 137">
            <a:extLst>
              <a:ext uri="{FF2B5EF4-FFF2-40B4-BE49-F238E27FC236}">
                <a16:creationId xmlns:a16="http://schemas.microsoft.com/office/drawing/2014/main" id="{F71C6A2F-FB79-A8BA-DADF-B48D837C29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3" name="Line 138">
            <a:extLst>
              <a:ext uri="{FF2B5EF4-FFF2-40B4-BE49-F238E27FC236}">
                <a16:creationId xmlns:a16="http://schemas.microsoft.com/office/drawing/2014/main" id="{B688FF22-6879-D513-7816-9F2F107513D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3654" name="Group 139">
          <a:extLst>
            <a:ext uri="{FF2B5EF4-FFF2-40B4-BE49-F238E27FC236}">
              <a16:creationId xmlns:a16="http://schemas.microsoft.com/office/drawing/2014/main" id="{D9B90616-B56A-3096-37FA-92C6CE17C7E8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3710" name="Oval 140">
            <a:extLst>
              <a:ext uri="{FF2B5EF4-FFF2-40B4-BE49-F238E27FC236}">
                <a16:creationId xmlns:a16="http://schemas.microsoft.com/office/drawing/2014/main" id="{BC9B4011-6705-32C5-FF97-B5D5E80FDBA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1" name="Line 141">
            <a:extLst>
              <a:ext uri="{FF2B5EF4-FFF2-40B4-BE49-F238E27FC236}">
                <a16:creationId xmlns:a16="http://schemas.microsoft.com/office/drawing/2014/main" id="{321F213A-9500-38D6-BC2C-683680AE735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3655" name="Group 142">
          <a:extLst>
            <a:ext uri="{FF2B5EF4-FFF2-40B4-BE49-F238E27FC236}">
              <a16:creationId xmlns:a16="http://schemas.microsoft.com/office/drawing/2014/main" id="{0E438EC3-24AE-9E26-E0D6-90D70A69E657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3708" name="Oval 143">
            <a:extLst>
              <a:ext uri="{FF2B5EF4-FFF2-40B4-BE49-F238E27FC236}">
                <a16:creationId xmlns:a16="http://schemas.microsoft.com/office/drawing/2014/main" id="{661CEDB0-3DED-96BE-8074-9BD8573E189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09" name="Line 144">
            <a:extLst>
              <a:ext uri="{FF2B5EF4-FFF2-40B4-BE49-F238E27FC236}">
                <a16:creationId xmlns:a16="http://schemas.microsoft.com/office/drawing/2014/main" id="{EE741FC6-446D-4821-D2F3-6DD61179ACC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3656" name="Group 145">
          <a:extLst>
            <a:ext uri="{FF2B5EF4-FFF2-40B4-BE49-F238E27FC236}">
              <a16:creationId xmlns:a16="http://schemas.microsoft.com/office/drawing/2014/main" id="{F0F72932-F7D8-6AF9-9B08-22EBBB9A7A7F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3706" name="Oval 146">
            <a:extLst>
              <a:ext uri="{FF2B5EF4-FFF2-40B4-BE49-F238E27FC236}">
                <a16:creationId xmlns:a16="http://schemas.microsoft.com/office/drawing/2014/main" id="{71412132-3E9C-AD55-ADC9-B2FCE320451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07" name="Line 147">
            <a:extLst>
              <a:ext uri="{FF2B5EF4-FFF2-40B4-BE49-F238E27FC236}">
                <a16:creationId xmlns:a16="http://schemas.microsoft.com/office/drawing/2014/main" id="{137471C6-CEBD-EEED-B3F5-DE4A91CD8EA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A0CF053C-D292-1661-308A-2C676DAB9A44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3658" name="Line 149">
          <a:extLst>
            <a:ext uri="{FF2B5EF4-FFF2-40B4-BE49-F238E27FC236}">
              <a16:creationId xmlns:a16="http://schemas.microsoft.com/office/drawing/2014/main" id="{98F7C266-D2A7-DD77-BC54-E070EAAF11F2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3659" name="Line 150">
          <a:extLst>
            <a:ext uri="{FF2B5EF4-FFF2-40B4-BE49-F238E27FC236}">
              <a16:creationId xmlns:a16="http://schemas.microsoft.com/office/drawing/2014/main" id="{5A2CD917-F393-E393-CAEC-054214296D6E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D2A03C58-ED51-0E5B-778E-B06855BBFC86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3661" name="Line 153">
          <a:extLst>
            <a:ext uri="{FF2B5EF4-FFF2-40B4-BE49-F238E27FC236}">
              <a16:creationId xmlns:a16="http://schemas.microsoft.com/office/drawing/2014/main" id="{D53D8F56-6395-0CB8-98A1-3A06E3B1B4DF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3662" name="Line 154">
          <a:extLst>
            <a:ext uri="{FF2B5EF4-FFF2-40B4-BE49-F238E27FC236}">
              <a16:creationId xmlns:a16="http://schemas.microsoft.com/office/drawing/2014/main" id="{F55C52BB-163B-0CE6-13D0-8532D0FE437E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3663" name="Freeform 155">
          <a:extLst>
            <a:ext uri="{FF2B5EF4-FFF2-40B4-BE49-F238E27FC236}">
              <a16:creationId xmlns:a16="http://schemas.microsoft.com/office/drawing/2014/main" id="{F415F0FF-A383-A031-BF33-4DDAEEF0477B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3664" name="Line 156">
          <a:extLst>
            <a:ext uri="{FF2B5EF4-FFF2-40B4-BE49-F238E27FC236}">
              <a16:creationId xmlns:a16="http://schemas.microsoft.com/office/drawing/2014/main" id="{94AA99CB-553B-8F1B-FF36-C28676ADA2EF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3665" name="Line 157">
          <a:extLst>
            <a:ext uri="{FF2B5EF4-FFF2-40B4-BE49-F238E27FC236}">
              <a16:creationId xmlns:a16="http://schemas.microsoft.com/office/drawing/2014/main" id="{BFBF93A4-2675-5A0F-C5D5-B90DE7D8D6A3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3666" name="Line 158">
          <a:extLst>
            <a:ext uri="{FF2B5EF4-FFF2-40B4-BE49-F238E27FC236}">
              <a16:creationId xmlns:a16="http://schemas.microsoft.com/office/drawing/2014/main" id="{1EAF45E5-C097-2CC1-B396-62D7CE5C4ADF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3667" name="Line 160">
          <a:extLst>
            <a:ext uri="{FF2B5EF4-FFF2-40B4-BE49-F238E27FC236}">
              <a16:creationId xmlns:a16="http://schemas.microsoft.com/office/drawing/2014/main" id="{BC6BAD9B-20F4-FD82-4C8B-A2DC08E2A759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3668" name="Line 161">
          <a:extLst>
            <a:ext uri="{FF2B5EF4-FFF2-40B4-BE49-F238E27FC236}">
              <a16:creationId xmlns:a16="http://schemas.microsoft.com/office/drawing/2014/main" id="{E5F7F591-C428-DB4C-8CF4-C5E470B34F14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3669" name="Line 162">
          <a:extLst>
            <a:ext uri="{FF2B5EF4-FFF2-40B4-BE49-F238E27FC236}">
              <a16:creationId xmlns:a16="http://schemas.microsoft.com/office/drawing/2014/main" id="{DD04CCC1-ECF8-9BD5-792C-44459297E966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3670" name="Line 163">
          <a:extLst>
            <a:ext uri="{FF2B5EF4-FFF2-40B4-BE49-F238E27FC236}">
              <a16:creationId xmlns:a16="http://schemas.microsoft.com/office/drawing/2014/main" id="{C73954D5-D852-0A88-5E19-BC50AC188F13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3671" name="Line 164">
          <a:extLst>
            <a:ext uri="{FF2B5EF4-FFF2-40B4-BE49-F238E27FC236}">
              <a16:creationId xmlns:a16="http://schemas.microsoft.com/office/drawing/2014/main" id="{4B7E17B8-659D-2548-6BC1-25C65753DBAB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3672" name="Line 165">
          <a:extLst>
            <a:ext uri="{FF2B5EF4-FFF2-40B4-BE49-F238E27FC236}">
              <a16:creationId xmlns:a16="http://schemas.microsoft.com/office/drawing/2014/main" id="{2530D04E-8657-5B7D-31D2-03511D87750C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F37840D6-813B-CEC7-C73D-B414FF08C863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1EB9201B-C343-0B7F-03AA-F14A895F6915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3675" name="Line 2509">
          <a:extLst>
            <a:ext uri="{FF2B5EF4-FFF2-40B4-BE49-F238E27FC236}">
              <a16:creationId xmlns:a16="http://schemas.microsoft.com/office/drawing/2014/main" id="{E1BC042A-FB15-50EB-E9AB-CB104C3FD043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2C53592E-6887-FB24-1835-F122FAA0BB5B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56B525C6-6C05-1606-EF47-4FA7DF89ADC9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3678" name="Group 183">
          <a:extLst>
            <a:ext uri="{FF2B5EF4-FFF2-40B4-BE49-F238E27FC236}">
              <a16:creationId xmlns:a16="http://schemas.microsoft.com/office/drawing/2014/main" id="{42C1033E-F182-7C3A-87CC-64336B81E33B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7F9E5E54-80D9-575E-3B7B-B3D5163F7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3698" name="Line 2507">
            <a:extLst>
              <a:ext uri="{FF2B5EF4-FFF2-40B4-BE49-F238E27FC236}">
                <a16:creationId xmlns:a16="http://schemas.microsoft.com/office/drawing/2014/main" id="{76746D46-C0D1-3294-F6A6-BBE99129C86F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87748E11-2334-AD52-B780-71D196EC5CEB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1E145246-00C6-76F1-1C00-89AFFB736D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39958935-7777-E7EC-F390-77CB91ECF9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007F7017-552D-D5BE-B7D2-109B685316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6EBA3E20-BD6E-2570-14FB-B446B24D9C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3704" name="Line 2515">
            <a:extLst>
              <a:ext uri="{FF2B5EF4-FFF2-40B4-BE49-F238E27FC236}">
                <a16:creationId xmlns:a16="http://schemas.microsoft.com/office/drawing/2014/main" id="{803C7C73-9952-7B83-6227-F0BD55AF22EC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852E6FA0-1013-FE8B-D434-E5DED457789E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78B65BF0-A871-620D-BFA0-976210A46850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7CEF28AE-0163-540F-07E5-6A8B2B3EA597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02B6CACE-09D3-0C4D-7216-DED45A62C6C3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A248379D-EECE-1F69-76FF-964DF2D724C2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A86CC308-D619-7B78-C941-D8FD36009E89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BB65C5FD-7271-0F04-919F-C532609A3D27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3685" name="Line 2515">
          <a:extLst>
            <a:ext uri="{FF2B5EF4-FFF2-40B4-BE49-F238E27FC236}">
              <a16:creationId xmlns:a16="http://schemas.microsoft.com/office/drawing/2014/main" id="{C7996874-F4FB-26CC-9787-2204C70EFDDB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8D23CFB9-171F-15DC-BA14-906A3CB8B638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FD693718-D0CE-BBEA-6DA7-5D0949AD4BF8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1E77C8BF-4FC1-4A9C-F292-BE7C44809096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1978C37A-6B55-88FC-429B-499F749FCD86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4FDE5693-F11B-2665-FC6A-854620A21982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F2B1A1E5-6379-E561-870A-82ED2BEC93E3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2A25BFC3-3E42-3B6C-D36A-E4FF810181D2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0A1A50AC-893E-1EF8-A6E0-7048A1FAD997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BC179354-8E4C-CB84-CED6-FB3F2E5A7D53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62AABCD4-0EC6-6AF8-1F84-0DCEFBF78E38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CB9B1DD3-8A8C-0C6D-2743-398E1BFD724A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4548" name="Rectangle 1">
          <a:extLst>
            <a:ext uri="{FF2B5EF4-FFF2-40B4-BE49-F238E27FC236}">
              <a16:creationId xmlns:a16="http://schemas.microsoft.com/office/drawing/2014/main" id="{B838C5DF-7958-4CA0-C92A-2685DB2E7168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4549" name="Line 2">
          <a:extLst>
            <a:ext uri="{FF2B5EF4-FFF2-40B4-BE49-F238E27FC236}">
              <a16:creationId xmlns:a16="http://schemas.microsoft.com/office/drawing/2014/main" id="{C5A2E43A-D977-49E4-D8F7-AC517E1FD1C5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4550" name="Line 3">
          <a:extLst>
            <a:ext uri="{FF2B5EF4-FFF2-40B4-BE49-F238E27FC236}">
              <a16:creationId xmlns:a16="http://schemas.microsoft.com/office/drawing/2014/main" id="{BD76398A-8822-C8CA-2180-4E13F6B1D933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1" name="Line 4">
          <a:extLst>
            <a:ext uri="{FF2B5EF4-FFF2-40B4-BE49-F238E27FC236}">
              <a16:creationId xmlns:a16="http://schemas.microsoft.com/office/drawing/2014/main" id="{385EF222-39B9-DD70-502B-7CEBA9241EE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2" name="Line 5">
          <a:extLst>
            <a:ext uri="{FF2B5EF4-FFF2-40B4-BE49-F238E27FC236}">
              <a16:creationId xmlns:a16="http://schemas.microsoft.com/office/drawing/2014/main" id="{0BBC072E-5B1A-C652-4144-08ABE6B53109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3" name="Line 6">
          <a:extLst>
            <a:ext uri="{FF2B5EF4-FFF2-40B4-BE49-F238E27FC236}">
              <a16:creationId xmlns:a16="http://schemas.microsoft.com/office/drawing/2014/main" id="{796FC1D1-C769-56B1-3D45-698F1A09138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4" name="Line 7">
          <a:extLst>
            <a:ext uri="{FF2B5EF4-FFF2-40B4-BE49-F238E27FC236}">
              <a16:creationId xmlns:a16="http://schemas.microsoft.com/office/drawing/2014/main" id="{A1BFE468-1182-E0E4-5169-C88BEC693DE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5" name="Line 8">
          <a:extLst>
            <a:ext uri="{FF2B5EF4-FFF2-40B4-BE49-F238E27FC236}">
              <a16:creationId xmlns:a16="http://schemas.microsoft.com/office/drawing/2014/main" id="{1A6EBC46-B73E-D40F-08C3-AD89B5028287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6" name="Line 9">
          <a:extLst>
            <a:ext uri="{FF2B5EF4-FFF2-40B4-BE49-F238E27FC236}">
              <a16:creationId xmlns:a16="http://schemas.microsoft.com/office/drawing/2014/main" id="{79024A5C-D676-C9BC-6CE0-4291FB897DEB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7" name="Line 10">
          <a:extLst>
            <a:ext uri="{FF2B5EF4-FFF2-40B4-BE49-F238E27FC236}">
              <a16:creationId xmlns:a16="http://schemas.microsoft.com/office/drawing/2014/main" id="{3E6F9006-9DB5-F277-5873-1DAFFD6C615C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8" name="Line 11">
          <a:extLst>
            <a:ext uri="{FF2B5EF4-FFF2-40B4-BE49-F238E27FC236}">
              <a16:creationId xmlns:a16="http://schemas.microsoft.com/office/drawing/2014/main" id="{3E8FDE29-750B-80B4-C549-F25C40F95A04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9" name="Line 12">
          <a:extLst>
            <a:ext uri="{FF2B5EF4-FFF2-40B4-BE49-F238E27FC236}">
              <a16:creationId xmlns:a16="http://schemas.microsoft.com/office/drawing/2014/main" id="{835027DE-7A85-15B5-E2EE-6BE04E66FEA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60" name="Line 13">
          <a:extLst>
            <a:ext uri="{FF2B5EF4-FFF2-40B4-BE49-F238E27FC236}">
              <a16:creationId xmlns:a16="http://schemas.microsoft.com/office/drawing/2014/main" id="{1AD7264B-9421-70F7-9B49-47124EA0080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4561" name="Line 14">
          <a:extLst>
            <a:ext uri="{FF2B5EF4-FFF2-40B4-BE49-F238E27FC236}">
              <a16:creationId xmlns:a16="http://schemas.microsoft.com/office/drawing/2014/main" id="{135DD767-74EE-241B-68E7-E8DBFCDB46DC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4562" name="Line 15">
          <a:extLst>
            <a:ext uri="{FF2B5EF4-FFF2-40B4-BE49-F238E27FC236}">
              <a16:creationId xmlns:a16="http://schemas.microsoft.com/office/drawing/2014/main" id="{08B0697E-00ED-813B-B113-04276E9C825D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63" name="Line 16">
          <a:extLst>
            <a:ext uri="{FF2B5EF4-FFF2-40B4-BE49-F238E27FC236}">
              <a16:creationId xmlns:a16="http://schemas.microsoft.com/office/drawing/2014/main" id="{44ED368C-A53F-B1BE-AC87-79AC78CF2C6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4564" name="Line 17">
          <a:extLst>
            <a:ext uri="{FF2B5EF4-FFF2-40B4-BE49-F238E27FC236}">
              <a16:creationId xmlns:a16="http://schemas.microsoft.com/office/drawing/2014/main" id="{0E64393C-7610-13E5-4239-D4B64ABFA8A8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4565" name="Line 18">
          <a:extLst>
            <a:ext uri="{FF2B5EF4-FFF2-40B4-BE49-F238E27FC236}">
              <a16:creationId xmlns:a16="http://schemas.microsoft.com/office/drawing/2014/main" id="{3130194D-A68F-4F52-1005-4D05CB157C40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66" name="Line 19">
          <a:extLst>
            <a:ext uri="{FF2B5EF4-FFF2-40B4-BE49-F238E27FC236}">
              <a16:creationId xmlns:a16="http://schemas.microsoft.com/office/drawing/2014/main" id="{AF8365D7-CF40-69A6-8172-3837D363BAA4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67" name="Line 20">
          <a:extLst>
            <a:ext uri="{FF2B5EF4-FFF2-40B4-BE49-F238E27FC236}">
              <a16:creationId xmlns:a16="http://schemas.microsoft.com/office/drawing/2014/main" id="{F5F8A660-2B4F-D61F-51A8-8DA49EE5E2AF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68" name="Line 21">
          <a:extLst>
            <a:ext uri="{FF2B5EF4-FFF2-40B4-BE49-F238E27FC236}">
              <a16:creationId xmlns:a16="http://schemas.microsoft.com/office/drawing/2014/main" id="{9FDC15F2-E3C1-7F05-D132-673C001B3225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69" name="Line 22">
          <a:extLst>
            <a:ext uri="{FF2B5EF4-FFF2-40B4-BE49-F238E27FC236}">
              <a16:creationId xmlns:a16="http://schemas.microsoft.com/office/drawing/2014/main" id="{C449C13E-52B7-16E0-7F4F-F7EE702F2062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70" name="Line 23">
          <a:extLst>
            <a:ext uri="{FF2B5EF4-FFF2-40B4-BE49-F238E27FC236}">
              <a16:creationId xmlns:a16="http://schemas.microsoft.com/office/drawing/2014/main" id="{9F86B212-3140-CA00-9935-4B88BB17FE9D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71" name="Line 24">
          <a:extLst>
            <a:ext uri="{FF2B5EF4-FFF2-40B4-BE49-F238E27FC236}">
              <a16:creationId xmlns:a16="http://schemas.microsoft.com/office/drawing/2014/main" id="{5FFC091D-0517-DB1C-F536-3443439369DF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72" name="Line 25">
          <a:extLst>
            <a:ext uri="{FF2B5EF4-FFF2-40B4-BE49-F238E27FC236}">
              <a16:creationId xmlns:a16="http://schemas.microsoft.com/office/drawing/2014/main" id="{FBF3358D-058E-A2AD-CE49-968D0A6158C8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35FF9851-B453-9648-FF75-3259487AA6AF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4574" name="Line 27">
          <a:extLst>
            <a:ext uri="{FF2B5EF4-FFF2-40B4-BE49-F238E27FC236}">
              <a16:creationId xmlns:a16="http://schemas.microsoft.com/office/drawing/2014/main" id="{197F377A-F00C-7642-2676-094CACE53CB2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4575" name="Line 28">
          <a:extLst>
            <a:ext uri="{FF2B5EF4-FFF2-40B4-BE49-F238E27FC236}">
              <a16:creationId xmlns:a16="http://schemas.microsoft.com/office/drawing/2014/main" id="{BE953D6D-3519-7E71-EE58-7C0B13325B3C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0191EBD2-3EBF-9392-53D5-378EAEB4FCA6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7" name="Line 30">
          <a:extLst>
            <a:ext uri="{FF2B5EF4-FFF2-40B4-BE49-F238E27FC236}">
              <a16:creationId xmlns:a16="http://schemas.microsoft.com/office/drawing/2014/main" id="{5DA29518-5A55-3C7D-60D2-3931FC57EA98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8" name="Line 31">
          <a:extLst>
            <a:ext uri="{FF2B5EF4-FFF2-40B4-BE49-F238E27FC236}">
              <a16:creationId xmlns:a16="http://schemas.microsoft.com/office/drawing/2014/main" id="{E43A78FE-CF75-A84F-BE00-B445AE1D7B6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9" name="Line 32">
          <a:extLst>
            <a:ext uri="{FF2B5EF4-FFF2-40B4-BE49-F238E27FC236}">
              <a16:creationId xmlns:a16="http://schemas.microsoft.com/office/drawing/2014/main" id="{A9A77A42-9636-6897-4A69-CAB4510E487C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80" name="Line 33">
          <a:extLst>
            <a:ext uri="{FF2B5EF4-FFF2-40B4-BE49-F238E27FC236}">
              <a16:creationId xmlns:a16="http://schemas.microsoft.com/office/drawing/2014/main" id="{0C401BA9-2F05-9349-EAE5-33B021720523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4581" name="Rectangle 34">
          <a:extLst>
            <a:ext uri="{FF2B5EF4-FFF2-40B4-BE49-F238E27FC236}">
              <a16:creationId xmlns:a16="http://schemas.microsoft.com/office/drawing/2014/main" id="{945141B5-52A9-487E-AEA4-B250A70EA64F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4582" name="Line 35">
          <a:extLst>
            <a:ext uri="{FF2B5EF4-FFF2-40B4-BE49-F238E27FC236}">
              <a16:creationId xmlns:a16="http://schemas.microsoft.com/office/drawing/2014/main" id="{037A4B41-AC88-3C09-7EC1-84CCE41B821C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4583" name="Line 36">
          <a:extLst>
            <a:ext uri="{FF2B5EF4-FFF2-40B4-BE49-F238E27FC236}">
              <a16:creationId xmlns:a16="http://schemas.microsoft.com/office/drawing/2014/main" id="{FE7767FD-E30E-6706-A789-CA5E06E17C72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4" name="Line 37">
          <a:extLst>
            <a:ext uri="{FF2B5EF4-FFF2-40B4-BE49-F238E27FC236}">
              <a16:creationId xmlns:a16="http://schemas.microsoft.com/office/drawing/2014/main" id="{C17E5BB5-3A6B-B0E6-0DD3-8819400A227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5" name="Line 38">
          <a:extLst>
            <a:ext uri="{FF2B5EF4-FFF2-40B4-BE49-F238E27FC236}">
              <a16:creationId xmlns:a16="http://schemas.microsoft.com/office/drawing/2014/main" id="{17663A14-8912-0C6B-6ECE-C514CD3D298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6" name="Line 39">
          <a:extLst>
            <a:ext uri="{FF2B5EF4-FFF2-40B4-BE49-F238E27FC236}">
              <a16:creationId xmlns:a16="http://schemas.microsoft.com/office/drawing/2014/main" id="{DB909B8F-2D90-2C02-6ACA-B34E7CD1D9B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7" name="Line 40">
          <a:extLst>
            <a:ext uri="{FF2B5EF4-FFF2-40B4-BE49-F238E27FC236}">
              <a16:creationId xmlns:a16="http://schemas.microsoft.com/office/drawing/2014/main" id="{8CB2F667-D6BB-F8F0-DE19-09B1594958BA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8" name="Line 41">
          <a:extLst>
            <a:ext uri="{FF2B5EF4-FFF2-40B4-BE49-F238E27FC236}">
              <a16:creationId xmlns:a16="http://schemas.microsoft.com/office/drawing/2014/main" id="{C6715C98-5FC8-88D0-EBFC-3D6EC771659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89" name="Line 42">
          <a:extLst>
            <a:ext uri="{FF2B5EF4-FFF2-40B4-BE49-F238E27FC236}">
              <a16:creationId xmlns:a16="http://schemas.microsoft.com/office/drawing/2014/main" id="{30F14DAF-759D-C6F5-C230-EA453C71CFB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0" name="Line 43">
          <a:extLst>
            <a:ext uri="{FF2B5EF4-FFF2-40B4-BE49-F238E27FC236}">
              <a16:creationId xmlns:a16="http://schemas.microsoft.com/office/drawing/2014/main" id="{62C092C4-9323-7416-03A0-831A5D1471A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1" name="Line 44">
          <a:extLst>
            <a:ext uri="{FF2B5EF4-FFF2-40B4-BE49-F238E27FC236}">
              <a16:creationId xmlns:a16="http://schemas.microsoft.com/office/drawing/2014/main" id="{8C4940AF-44C7-DC23-DCA0-E6F673EBB9A4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2" name="Line 45">
          <a:extLst>
            <a:ext uri="{FF2B5EF4-FFF2-40B4-BE49-F238E27FC236}">
              <a16:creationId xmlns:a16="http://schemas.microsoft.com/office/drawing/2014/main" id="{54F6D210-1B7B-5494-D9CC-6A02A05F8D9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3" name="Line 46">
          <a:extLst>
            <a:ext uri="{FF2B5EF4-FFF2-40B4-BE49-F238E27FC236}">
              <a16:creationId xmlns:a16="http://schemas.microsoft.com/office/drawing/2014/main" id="{717AAEF4-5924-4964-43A0-CDF99086D719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4594" name="Line 47">
          <a:extLst>
            <a:ext uri="{FF2B5EF4-FFF2-40B4-BE49-F238E27FC236}">
              <a16:creationId xmlns:a16="http://schemas.microsoft.com/office/drawing/2014/main" id="{01225F66-BC0D-8943-32C7-1C136FCCC5CF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4595" name="Line 48">
          <a:extLst>
            <a:ext uri="{FF2B5EF4-FFF2-40B4-BE49-F238E27FC236}">
              <a16:creationId xmlns:a16="http://schemas.microsoft.com/office/drawing/2014/main" id="{F4337527-2427-AAD8-5F0E-F79D529E1876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96" name="Line 49">
          <a:extLst>
            <a:ext uri="{FF2B5EF4-FFF2-40B4-BE49-F238E27FC236}">
              <a16:creationId xmlns:a16="http://schemas.microsoft.com/office/drawing/2014/main" id="{D8BB1105-9CF3-FE6B-466E-03AE8801B1E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4597" name="Line 50">
          <a:extLst>
            <a:ext uri="{FF2B5EF4-FFF2-40B4-BE49-F238E27FC236}">
              <a16:creationId xmlns:a16="http://schemas.microsoft.com/office/drawing/2014/main" id="{4F051033-C5EF-3882-E5C7-281A71735FBA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4598" name="Line 51">
          <a:extLst>
            <a:ext uri="{FF2B5EF4-FFF2-40B4-BE49-F238E27FC236}">
              <a16:creationId xmlns:a16="http://schemas.microsoft.com/office/drawing/2014/main" id="{70931E5E-A3D2-3635-2025-0A596E6A519E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99" name="Line 52">
          <a:extLst>
            <a:ext uri="{FF2B5EF4-FFF2-40B4-BE49-F238E27FC236}">
              <a16:creationId xmlns:a16="http://schemas.microsoft.com/office/drawing/2014/main" id="{86198B4E-8C16-E1C8-E3B7-0FE69B1C40B9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600" name="Line 53">
          <a:extLst>
            <a:ext uri="{FF2B5EF4-FFF2-40B4-BE49-F238E27FC236}">
              <a16:creationId xmlns:a16="http://schemas.microsoft.com/office/drawing/2014/main" id="{D4889F39-AEB2-7E6C-1594-3C3196B9A956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601" name="Line 54">
          <a:extLst>
            <a:ext uri="{FF2B5EF4-FFF2-40B4-BE49-F238E27FC236}">
              <a16:creationId xmlns:a16="http://schemas.microsoft.com/office/drawing/2014/main" id="{6196F08F-4A02-72E0-418B-F673068461FF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4602" name="Line 55">
          <a:extLst>
            <a:ext uri="{FF2B5EF4-FFF2-40B4-BE49-F238E27FC236}">
              <a16:creationId xmlns:a16="http://schemas.microsoft.com/office/drawing/2014/main" id="{921BD609-5465-F68D-2CB6-2602D464C386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84091020-D9B0-B969-A9B5-A8182659792D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45288435-BEFE-F4F5-2B1D-43B6697F15C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10C489A6-8ACB-2D9D-A794-1529B5E81C28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D5440A59-5785-C04A-638F-CA0191867DB6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6410DF18-C6B9-478F-2E21-F55799FA3AF3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A8FF0CCE-5DD6-1990-6F9F-D09BA2E7F2C6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4609" name="Line 62">
          <a:extLst>
            <a:ext uri="{FF2B5EF4-FFF2-40B4-BE49-F238E27FC236}">
              <a16:creationId xmlns:a16="http://schemas.microsoft.com/office/drawing/2014/main" id="{F1B85A85-A4AC-7FB2-B521-10830DFE8D24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4610" name="Line 63">
          <a:extLst>
            <a:ext uri="{FF2B5EF4-FFF2-40B4-BE49-F238E27FC236}">
              <a16:creationId xmlns:a16="http://schemas.microsoft.com/office/drawing/2014/main" id="{A5B62D7F-EC91-76B2-3642-2CE36AF6453D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4611" name="Line 64">
          <a:extLst>
            <a:ext uri="{FF2B5EF4-FFF2-40B4-BE49-F238E27FC236}">
              <a16:creationId xmlns:a16="http://schemas.microsoft.com/office/drawing/2014/main" id="{BCA7B81C-A05B-01C9-1FDB-61AA6E2C1E1B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4612" name="Line 65">
          <a:extLst>
            <a:ext uri="{FF2B5EF4-FFF2-40B4-BE49-F238E27FC236}">
              <a16:creationId xmlns:a16="http://schemas.microsoft.com/office/drawing/2014/main" id="{5CDC28D6-9CF9-56D4-1187-848D53EDAD96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4613" name="Line 66">
          <a:extLst>
            <a:ext uri="{FF2B5EF4-FFF2-40B4-BE49-F238E27FC236}">
              <a16:creationId xmlns:a16="http://schemas.microsoft.com/office/drawing/2014/main" id="{3E638431-E79F-3A6E-C8A2-73B32267D1FB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4614" name="Line 67">
          <a:extLst>
            <a:ext uri="{FF2B5EF4-FFF2-40B4-BE49-F238E27FC236}">
              <a16:creationId xmlns:a16="http://schemas.microsoft.com/office/drawing/2014/main" id="{129FD9A0-8DAE-97A1-EAD6-CFAA3C74B9A6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AF44E1B3-8220-1344-D104-BC28BEF4F01C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4616" name="Line 69">
          <a:extLst>
            <a:ext uri="{FF2B5EF4-FFF2-40B4-BE49-F238E27FC236}">
              <a16:creationId xmlns:a16="http://schemas.microsoft.com/office/drawing/2014/main" id="{D0EBC425-A7B3-BE32-A2D1-D9A31C600F99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4E47887C-A8E6-F8D9-B7C0-863FD00181AA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4618" name="Line 71">
          <a:extLst>
            <a:ext uri="{FF2B5EF4-FFF2-40B4-BE49-F238E27FC236}">
              <a16:creationId xmlns:a16="http://schemas.microsoft.com/office/drawing/2014/main" id="{4E72BFD3-2012-D543-6668-D1E59D0BE5AB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4619" name="Line 72">
          <a:extLst>
            <a:ext uri="{FF2B5EF4-FFF2-40B4-BE49-F238E27FC236}">
              <a16:creationId xmlns:a16="http://schemas.microsoft.com/office/drawing/2014/main" id="{1ED11CA4-1DD2-D7C5-D657-4B2D5FC64D65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4620" name="Line 73">
          <a:extLst>
            <a:ext uri="{FF2B5EF4-FFF2-40B4-BE49-F238E27FC236}">
              <a16:creationId xmlns:a16="http://schemas.microsoft.com/office/drawing/2014/main" id="{FE8CD7BE-3894-911D-CECD-A4727BF06B8A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8AD6C301-FEBE-CF72-B7F3-2A66F7431616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B1CAF0D7-7F05-67AC-FE53-8C3396B25D9D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F1137F03-B714-95AA-6948-B78F1BF7E19A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4D452A8E-0B1F-947A-CD89-53899A2DCA85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4625" name="Line 78">
          <a:extLst>
            <a:ext uri="{FF2B5EF4-FFF2-40B4-BE49-F238E27FC236}">
              <a16:creationId xmlns:a16="http://schemas.microsoft.com/office/drawing/2014/main" id="{47AADF24-F2B6-2A6A-3D5C-75F395A5C114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4626" name="Line 79">
          <a:extLst>
            <a:ext uri="{FF2B5EF4-FFF2-40B4-BE49-F238E27FC236}">
              <a16:creationId xmlns:a16="http://schemas.microsoft.com/office/drawing/2014/main" id="{4DE19934-DEBD-1231-2A6C-BC5B7C275CDF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4627" name="Line 80">
          <a:extLst>
            <a:ext uri="{FF2B5EF4-FFF2-40B4-BE49-F238E27FC236}">
              <a16:creationId xmlns:a16="http://schemas.microsoft.com/office/drawing/2014/main" id="{D71ABBDC-AE2F-FAA1-76E4-29432D3C12F6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4628" name="Line 81">
          <a:extLst>
            <a:ext uri="{FF2B5EF4-FFF2-40B4-BE49-F238E27FC236}">
              <a16:creationId xmlns:a16="http://schemas.microsoft.com/office/drawing/2014/main" id="{39ADD6D2-78DB-560A-52D4-AB71B0E715C9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4629" name="Line 82">
          <a:extLst>
            <a:ext uri="{FF2B5EF4-FFF2-40B4-BE49-F238E27FC236}">
              <a16:creationId xmlns:a16="http://schemas.microsoft.com/office/drawing/2014/main" id="{666AE921-4FCD-D6A4-3228-00188CC22405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4630" name="Line 83">
          <a:extLst>
            <a:ext uri="{FF2B5EF4-FFF2-40B4-BE49-F238E27FC236}">
              <a16:creationId xmlns:a16="http://schemas.microsoft.com/office/drawing/2014/main" id="{EAB16ADC-C8B4-69A8-4225-0CCB67C77F5B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5B7D3423-C5A1-F854-B90F-7E77F51590D0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4632" name="Line 85">
          <a:extLst>
            <a:ext uri="{FF2B5EF4-FFF2-40B4-BE49-F238E27FC236}">
              <a16:creationId xmlns:a16="http://schemas.microsoft.com/office/drawing/2014/main" id="{B5436897-8B88-7B10-689D-D2B95A61AD55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4633" name="Line 86">
          <a:extLst>
            <a:ext uri="{FF2B5EF4-FFF2-40B4-BE49-F238E27FC236}">
              <a16:creationId xmlns:a16="http://schemas.microsoft.com/office/drawing/2014/main" id="{396F4CFE-5FFA-3612-E8D6-2059079FB6A9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97848174-E424-70E3-BDA9-8219894A79C6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4635" name="Line 88">
          <a:extLst>
            <a:ext uri="{FF2B5EF4-FFF2-40B4-BE49-F238E27FC236}">
              <a16:creationId xmlns:a16="http://schemas.microsoft.com/office/drawing/2014/main" id="{2FEA5846-32D9-9B0C-8AAE-ED0F67EBEEDB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4636" name="Line 89">
          <a:extLst>
            <a:ext uri="{FF2B5EF4-FFF2-40B4-BE49-F238E27FC236}">
              <a16:creationId xmlns:a16="http://schemas.microsoft.com/office/drawing/2014/main" id="{97D3AF9B-FCC5-EBAE-4EA9-E9CCE629D1E3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4637" name="Line 90">
          <a:extLst>
            <a:ext uri="{FF2B5EF4-FFF2-40B4-BE49-F238E27FC236}">
              <a16:creationId xmlns:a16="http://schemas.microsoft.com/office/drawing/2014/main" id="{6093BEBB-1B7E-325D-CAB0-C32C3C803C7B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4638" name="Line 91">
          <a:extLst>
            <a:ext uri="{FF2B5EF4-FFF2-40B4-BE49-F238E27FC236}">
              <a16:creationId xmlns:a16="http://schemas.microsoft.com/office/drawing/2014/main" id="{C7A5842E-AEB8-F4F9-FAB6-75EC038A7474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4639" name="Line 92">
          <a:extLst>
            <a:ext uri="{FF2B5EF4-FFF2-40B4-BE49-F238E27FC236}">
              <a16:creationId xmlns:a16="http://schemas.microsoft.com/office/drawing/2014/main" id="{913805F8-2F5F-57FB-465B-26BE0CCDF6FD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4640" name="AutoShape 93" descr="Stationery">
          <a:extLst>
            <a:ext uri="{FF2B5EF4-FFF2-40B4-BE49-F238E27FC236}">
              <a16:creationId xmlns:a16="http://schemas.microsoft.com/office/drawing/2014/main" id="{C5EA297C-82FC-B200-3E03-EFF9EA924ACD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4641" name="Line 94">
          <a:extLst>
            <a:ext uri="{FF2B5EF4-FFF2-40B4-BE49-F238E27FC236}">
              <a16:creationId xmlns:a16="http://schemas.microsoft.com/office/drawing/2014/main" id="{BBCA8282-10C5-4DE0-B5F8-3E25CC9AFE9D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4642" name="Line 95">
          <a:extLst>
            <a:ext uri="{FF2B5EF4-FFF2-40B4-BE49-F238E27FC236}">
              <a16:creationId xmlns:a16="http://schemas.microsoft.com/office/drawing/2014/main" id="{FF080FCC-20DE-378F-BB0F-563235094407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CA1A775A-CB0D-D496-DD5A-FEBF25651002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961A246B-0559-6925-75B1-C71A2350A231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4645" name="Line 98">
          <a:extLst>
            <a:ext uri="{FF2B5EF4-FFF2-40B4-BE49-F238E27FC236}">
              <a16:creationId xmlns:a16="http://schemas.microsoft.com/office/drawing/2014/main" id="{91631D81-9331-A3D6-E6C8-1E182F715344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4646" name="Line 99">
          <a:extLst>
            <a:ext uri="{FF2B5EF4-FFF2-40B4-BE49-F238E27FC236}">
              <a16:creationId xmlns:a16="http://schemas.microsoft.com/office/drawing/2014/main" id="{91762D40-6B13-CF64-E7D9-11209F829BDC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4647" name="Line 100">
          <a:extLst>
            <a:ext uri="{FF2B5EF4-FFF2-40B4-BE49-F238E27FC236}">
              <a16:creationId xmlns:a16="http://schemas.microsoft.com/office/drawing/2014/main" id="{210C30E7-C7BF-A267-2D71-6784353BC608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4648" name="Line 101">
          <a:extLst>
            <a:ext uri="{FF2B5EF4-FFF2-40B4-BE49-F238E27FC236}">
              <a16:creationId xmlns:a16="http://schemas.microsoft.com/office/drawing/2014/main" id="{A2A08642-8B06-07AB-1D0E-17C31F256CC1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49" name="Line 102">
          <a:extLst>
            <a:ext uri="{FF2B5EF4-FFF2-40B4-BE49-F238E27FC236}">
              <a16:creationId xmlns:a16="http://schemas.microsoft.com/office/drawing/2014/main" id="{33611053-5D52-D4C6-E6BE-193FB12D0BAA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2532DD82-E47A-A8A3-5204-3279995B43F2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4651" name="Line 104">
          <a:extLst>
            <a:ext uri="{FF2B5EF4-FFF2-40B4-BE49-F238E27FC236}">
              <a16:creationId xmlns:a16="http://schemas.microsoft.com/office/drawing/2014/main" id="{BFF051B6-B30B-9223-25FA-CCEB90CF7526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A9488613-FDB1-F11B-E7B4-BBACC65C4556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4653" name="Line 106">
          <a:extLst>
            <a:ext uri="{FF2B5EF4-FFF2-40B4-BE49-F238E27FC236}">
              <a16:creationId xmlns:a16="http://schemas.microsoft.com/office/drawing/2014/main" id="{89A1A57E-4ED8-56BB-8144-9BC333F5644D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6BC2596A-A362-18AC-6034-685D5A9C672B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4655" name="Freeform 108">
          <a:extLst>
            <a:ext uri="{FF2B5EF4-FFF2-40B4-BE49-F238E27FC236}">
              <a16:creationId xmlns:a16="http://schemas.microsoft.com/office/drawing/2014/main" id="{37E2ACD3-39C5-3F7C-F5DD-B188C7A5FC24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4656" name="Line 109">
          <a:extLst>
            <a:ext uri="{FF2B5EF4-FFF2-40B4-BE49-F238E27FC236}">
              <a16:creationId xmlns:a16="http://schemas.microsoft.com/office/drawing/2014/main" id="{DD7F9C1D-E37F-57D2-5F22-E3FE95C1B731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4657" name="Line 110">
          <a:extLst>
            <a:ext uri="{FF2B5EF4-FFF2-40B4-BE49-F238E27FC236}">
              <a16:creationId xmlns:a16="http://schemas.microsoft.com/office/drawing/2014/main" id="{B3629072-FC05-0752-AB1D-C329029F3503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4658" name="Line 111">
          <a:extLst>
            <a:ext uri="{FF2B5EF4-FFF2-40B4-BE49-F238E27FC236}">
              <a16:creationId xmlns:a16="http://schemas.microsoft.com/office/drawing/2014/main" id="{C3EE4ED1-81BE-4621-9802-8F6522E8F32E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4659" name="Line 112">
          <a:extLst>
            <a:ext uri="{FF2B5EF4-FFF2-40B4-BE49-F238E27FC236}">
              <a16:creationId xmlns:a16="http://schemas.microsoft.com/office/drawing/2014/main" id="{9BF8764D-466E-3403-7AA1-1F6E0253AE18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4660" name="Line 113">
          <a:extLst>
            <a:ext uri="{FF2B5EF4-FFF2-40B4-BE49-F238E27FC236}">
              <a16:creationId xmlns:a16="http://schemas.microsoft.com/office/drawing/2014/main" id="{F4E464DF-3E99-6AD7-26FC-07E1735E7285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4661" name="Line 114">
          <a:extLst>
            <a:ext uri="{FF2B5EF4-FFF2-40B4-BE49-F238E27FC236}">
              <a16:creationId xmlns:a16="http://schemas.microsoft.com/office/drawing/2014/main" id="{4EEDFBC0-A6C4-97F2-32B1-D7DEAC54EB8B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4662" name="Line 115">
          <a:extLst>
            <a:ext uri="{FF2B5EF4-FFF2-40B4-BE49-F238E27FC236}">
              <a16:creationId xmlns:a16="http://schemas.microsoft.com/office/drawing/2014/main" id="{653F4660-6F41-718E-ED25-E91D736CB786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4663" name="Line 116">
          <a:extLst>
            <a:ext uri="{FF2B5EF4-FFF2-40B4-BE49-F238E27FC236}">
              <a16:creationId xmlns:a16="http://schemas.microsoft.com/office/drawing/2014/main" id="{B44DE582-0E26-EBAA-F823-59D33B9DD6C8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4664" name="Line 117">
          <a:extLst>
            <a:ext uri="{FF2B5EF4-FFF2-40B4-BE49-F238E27FC236}">
              <a16:creationId xmlns:a16="http://schemas.microsoft.com/office/drawing/2014/main" id="{3AD1AA2E-532B-4353-86DD-E6908D71D205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4665" name="Line 118">
          <a:extLst>
            <a:ext uri="{FF2B5EF4-FFF2-40B4-BE49-F238E27FC236}">
              <a16:creationId xmlns:a16="http://schemas.microsoft.com/office/drawing/2014/main" id="{C6842362-EFA1-8A09-01C4-BAD97292B4F6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6" name="Line 119">
          <a:extLst>
            <a:ext uri="{FF2B5EF4-FFF2-40B4-BE49-F238E27FC236}">
              <a16:creationId xmlns:a16="http://schemas.microsoft.com/office/drawing/2014/main" id="{BF5EBD52-70A0-6E2D-9D6D-50B90D9D0811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7" name="Line 120">
          <a:extLst>
            <a:ext uri="{FF2B5EF4-FFF2-40B4-BE49-F238E27FC236}">
              <a16:creationId xmlns:a16="http://schemas.microsoft.com/office/drawing/2014/main" id="{0B7B2F48-A021-FFB8-969A-04AEC2F2B57B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8" name="Line 121">
          <a:extLst>
            <a:ext uri="{FF2B5EF4-FFF2-40B4-BE49-F238E27FC236}">
              <a16:creationId xmlns:a16="http://schemas.microsoft.com/office/drawing/2014/main" id="{C3DC01AB-A4C2-D837-86B5-B28FB69730F8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4669" name="Line 122">
          <a:extLst>
            <a:ext uri="{FF2B5EF4-FFF2-40B4-BE49-F238E27FC236}">
              <a16:creationId xmlns:a16="http://schemas.microsoft.com/office/drawing/2014/main" id="{6064AB9F-7FA3-83C0-9B95-EDB58C87D8C7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4670" name="Line 123">
          <a:extLst>
            <a:ext uri="{FF2B5EF4-FFF2-40B4-BE49-F238E27FC236}">
              <a16:creationId xmlns:a16="http://schemas.microsoft.com/office/drawing/2014/main" id="{199F016B-50FA-5944-36CE-E348099711D4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4671" name="Line 124">
          <a:extLst>
            <a:ext uri="{FF2B5EF4-FFF2-40B4-BE49-F238E27FC236}">
              <a16:creationId xmlns:a16="http://schemas.microsoft.com/office/drawing/2014/main" id="{E3D1FF38-CC34-D0DF-2BBE-1BCC4175EFD7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4672" name="Line 125">
          <a:extLst>
            <a:ext uri="{FF2B5EF4-FFF2-40B4-BE49-F238E27FC236}">
              <a16:creationId xmlns:a16="http://schemas.microsoft.com/office/drawing/2014/main" id="{6CC77F5C-79E7-2528-116C-A70794044310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4673" name="Line 126">
          <a:extLst>
            <a:ext uri="{FF2B5EF4-FFF2-40B4-BE49-F238E27FC236}">
              <a16:creationId xmlns:a16="http://schemas.microsoft.com/office/drawing/2014/main" id="{97CA68AA-8C1E-EC38-4650-04C53DBBC6A3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4674" name="Group 127">
          <a:extLst>
            <a:ext uri="{FF2B5EF4-FFF2-40B4-BE49-F238E27FC236}">
              <a16:creationId xmlns:a16="http://schemas.microsoft.com/office/drawing/2014/main" id="{20FCE703-817C-AE7B-3A0B-4187B9D81B22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4742" name="Oval 128">
            <a:extLst>
              <a:ext uri="{FF2B5EF4-FFF2-40B4-BE49-F238E27FC236}">
                <a16:creationId xmlns:a16="http://schemas.microsoft.com/office/drawing/2014/main" id="{9B6200F4-5958-6BE7-020A-F73E25D1A5F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43" name="Line 129">
            <a:extLst>
              <a:ext uri="{FF2B5EF4-FFF2-40B4-BE49-F238E27FC236}">
                <a16:creationId xmlns:a16="http://schemas.microsoft.com/office/drawing/2014/main" id="{565810BE-4471-6531-7252-C7E7CE9431B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4675" name="Group 130">
          <a:extLst>
            <a:ext uri="{FF2B5EF4-FFF2-40B4-BE49-F238E27FC236}">
              <a16:creationId xmlns:a16="http://schemas.microsoft.com/office/drawing/2014/main" id="{DA3AB43B-37D7-FF70-CE79-987C0FE735AF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4740" name="Oval 131">
            <a:extLst>
              <a:ext uri="{FF2B5EF4-FFF2-40B4-BE49-F238E27FC236}">
                <a16:creationId xmlns:a16="http://schemas.microsoft.com/office/drawing/2014/main" id="{0AA41A0C-10C8-6FAC-4509-637E944F1BB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41" name="Line 132">
            <a:extLst>
              <a:ext uri="{FF2B5EF4-FFF2-40B4-BE49-F238E27FC236}">
                <a16:creationId xmlns:a16="http://schemas.microsoft.com/office/drawing/2014/main" id="{85925D31-729B-D67A-3E27-113CADEF748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4676" name="Group 133">
          <a:extLst>
            <a:ext uri="{FF2B5EF4-FFF2-40B4-BE49-F238E27FC236}">
              <a16:creationId xmlns:a16="http://schemas.microsoft.com/office/drawing/2014/main" id="{7BE42FA9-C47D-60C4-1C66-5AE4AD02166D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4738" name="Oval 134">
            <a:extLst>
              <a:ext uri="{FF2B5EF4-FFF2-40B4-BE49-F238E27FC236}">
                <a16:creationId xmlns:a16="http://schemas.microsoft.com/office/drawing/2014/main" id="{63A7CD96-41F7-878E-7570-D555C2C5C52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9" name="Line 135">
            <a:extLst>
              <a:ext uri="{FF2B5EF4-FFF2-40B4-BE49-F238E27FC236}">
                <a16:creationId xmlns:a16="http://schemas.microsoft.com/office/drawing/2014/main" id="{3E0E43C6-F3C2-1D9E-CDBA-E08CA492A9D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4677" name="Group 136">
          <a:extLst>
            <a:ext uri="{FF2B5EF4-FFF2-40B4-BE49-F238E27FC236}">
              <a16:creationId xmlns:a16="http://schemas.microsoft.com/office/drawing/2014/main" id="{08464A06-0F36-CEF6-1239-6F60C8D2359D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4736" name="Oval 137">
            <a:extLst>
              <a:ext uri="{FF2B5EF4-FFF2-40B4-BE49-F238E27FC236}">
                <a16:creationId xmlns:a16="http://schemas.microsoft.com/office/drawing/2014/main" id="{947643F2-2815-1A10-F928-7F18945CBBA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7" name="Line 138">
            <a:extLst>
              <a:ext uri="{FF2B5EF4-FFF2-40B4-BE49-F238E27FC236}">
                <a16:creationId xmlns:a16="http://schemas.microsoft.com/office/drawing/2014/main" id="{CF12051F-A447-58B2-2EA5-E577E30B2B9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4678" name="Group 139">
          <a:extLst>
            <a:ext uri="{FF2B5EF4-FFF2-40B4-BE49-F238E27FC236}">
              <a16:creationId xmlns:a16="http://schemas.microsoft.com/office/drawing/2014/main" id="{6E7C1541-A30F-D67F-0063-60A23F50779F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4734" name="Oval 140">
            <a:extLst>
              <a:ext uri="{FF2B5EF4-FFF2-40B4-BE49-F238E27FC236}">
                <a16:creationId xmlns:a16="http://schemas.microsoft.com/office/drawing/2014/main" id="{414F5144-C3A3-1DC1-443C-94BDCC4AEF0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5" name="Line 141">
            <a:extLst>
              <a:ext uri="{FF2B5EF4-FFF2-40B4-BE49-F238E27FC236}">
                <a16:creationId xmlns:a16="http://schemas.microsoft.com/office/drawing/2014/main" id="{A8267D3C-630F-4C55-BC25-F76439B2CB9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4679" name="Group 142">
          <a:extLst>
            <a:ext uri="{FF2B5EF4-FFF2-40B4-BE49-F238E27FC236}">
              <a16:creationId xmlns:a16="http://schemas.microsoft.com/office/drawing/2014/main" id="{59716F24-C712-E0F1-B2A0-28E268EAF685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4732" name="Oval 143">
            <a:extLst>
              <a:ext uri="{FF2B5EF4-FFF2-40B4-BE49-F238E27FC236}">
                <a16:creationId xmlns:a16="http://schemas.microsoft.com/office/drawing/2014/main" id="{4DA537FB-1303-C8CE-F677-D3282EBB37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3" name="Line 144">
            <a:extLst>
              <a:ext uri="{FF2B5EF4-FFF2-40B4-BE49-F238E27FC236}">
                <a16:creationId xmlns:a16="http://schemas.microsoft.com/office/drawing/2014/main" id="{2A5A5591-3290-612A-5910-AB6D6857E32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4680" name="Group 145">
          <a:extLst>
            <a:ext uri="{FF2B5EF4-FFF2-40B4-BE49-F238E27FC236}">
              <a16:creationId xmlns:a16="http://schemas.microsoft.com/office/drawing/2014/main" id="{CAF61F6C-3A27-529C-6BCB-B1807F594883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4730" name="Oval 146">
            <a:extLst>
              <a:ext uri="{FF2B5EF4-FFF2-40B4-BE49-F238E27FC236}">
                <a16:creationId xmlns:a16="http://schemas.microsoft.com/office/drawing/2014/main" id="{20A7553E-871C-BC1D-8D15-8DD51FFD2BF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1" name="Line 147">
            <a:extLst>
              <a:ext uri="{FF2B5EF4-FFF2-40B4-BE49-F238E27FC236}">
                <a16:creationId xmlns:a16="http://schemas.microsoft.com/office/drawing/2014/main" id="{2DB4374F-82EF-6919-553A-834897955D0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E41A0A60-52A5-3EFC-4F5B-13642CC0294F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4682" name="Line 149">
          <a:extLst>
            <a:ext uri="{FF2B5EF4-FFF2-40B4-BE49-F238E27FC236}">
              <a16:creationId xmlns:a16="http://schemas.microsoft.com/office/drawing/2014/main" id="{F09285D3-DAC0-E97C-95CF-C9B701BF4038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4683" name="Line 150">
          <a:extLst>
            <a:ext uri="{FF2B5EF4-FFF2-40B4-BE49-F238E27FC236}">
              <a16:creationId xmlns:a16="http://schemas.microsoft.com/office/drawing/2014/main" id="{E071ADE3-BF66-DCD7-FA57-4CA465BFE16D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6498FA2E-80A0-4C07-F900-F65EEC8AAC1C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4685" name="Line 153">
          <a:extLst>
            <a:ext uri="{FF2B5EF4-FFF2-40B4-BE49-F238E27FC236}">
              <a16:creationId xmlns:a16="http://schemas.microsoft.com/office/drawing/2014/main" id="{7ED15E47-6932-6EA7-770B-E7BC545EC6C8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4686" name="Line 154">
          <a:extLst>
            <a:ext uri="{FF2B5EF4-FFF2-40B4-BE49-F238E27FC236}">
              <a16:creationId xmlns:a16="http://schemas.microsoft.com/office/drawing/2014/main" id="{DF5FDE95-D258-862F-F66A-4B33E0C13F4F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4687" name="Freeform 155">
          <a:extLst>
            <a:ext uri="{FF2B5EF4-FFF2-40B4-BE49-F238E27FC236}">
              <a16:creationId xmlns:a16="http://schemas.microsoft.com/office/drawing/2014/main" id="{F806BF5C-06D8-CF00-E1C5-4E0C714B4E02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4688" name="Line 156">
          <a:extLst>
            <a:ext uri="{FF2B5EF4-FFF2-40B4-BE49-F238E27FC236}">
              <a16:creationId xmlns:a16="http://schemas.microsoft.com/office/drawing/2014/main" id="{35383215-CD46-DF05-4E0C-F81393C14CE7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4689" name="Line 157">
          <a:extLst>
            <a:ext uri="{FF2B5EF4-FFF2-40B4-BE49-F238E27FC236}">
              <a16:creationId xmlns:a16="http://schemas.microsoft.com/office/drawing/2014/main" id="{CECC0903-8AF8-191C-97E2-98026D08C4C4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4690" name="Line 158">
          <a:extLst>
            <a:ext uri="{FF2B5EF4-FFF2-40B4-BE49-F238E27FC236}">
              <a16:creationId xmlns:a16="http://schemas.microsoft.com/office/drawing/2014/main" id="{1053B374-D6CF-D0D3-566B-E2434F4B047B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4691" name="Line 160">
          <a:extLst>
            <a:ext uri="{FF2B5EF4-FFF2-40B4-BE49-F238E27FC236}">
              <a16:creationId xmlns:a16="http://schemas.microsoft.com/office/drawing/2014/main" id="{CA8DA951-35CA-1DDC-C65E-53B373116601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4692" name="Line 161">
          <a:extLst>
            <a:ext uri="{FF2B5EF4-FFF2-40B4-BE49-F238E27FC236}">
              <a16:creationId xmlns:a16="http://schemas.microsoft.com/office/drawing/2014/main" id="{FC7FC945-661A-FCAC-3065-E92412832828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4693" name="Line 162">
          <a:extLst>
            <a:ext uri="{FF2B5EF4-FFF2-40B4-BE49-F238E27FC236}">
              <a16:creationId xmlns:a16="http://schemas.microsoft.com/office/drawing/2014/main" id="{65721DB2-F386-6D09-8590-241E468BE830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4694" name="Line 163">
          <a:extLst>
            <a:ext uri="{FF2B5EF4-FFF2-40B4-BE49-F238E27FC236}">
              <a16:creationId xmlns:a16="http://schemas.microsoft.com/office/drawing/2014/main" id="{7E2A1E2D-C678-6E1F-1CC4-219E014A91F7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4695" name="Line 164">
          <a:extLst>
            <a:ext uri="{FF2B5EF4-FFF2-40B4-BE49-F238E27FC236}">
              <a16:creationId xmlns:a16="http://schemas.microsoft.com/office/drawing/2014/main" id="{30B21A5B-4D5D-28E0-268E-B2502620987C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4696" name="Line 165">
          <a:extLst>
            <a:ext uri="{FF2B5EF4-FFF2-40B4-BE49-F238E27FC236}">
              <a16:creationId xmlns:a16="http://schemas.microsoft.com/office/drawing/2014/main" id="{890D7AE2-7ABE-F074-ABD9-90FF11CA1CC1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E1B2621E-4588-02C5-E4B9-974832780B7D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C4AEDC5E-90A3-B81A-409F-CB643BF66DE2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4699" name="Line 2509">
          <a:extLst>
            <a:ext uri="{FF2B5EF4-FFF2-40B4-BE49-F238E27FC236}">
              <a16:creationId xmlns:a16="http://schemas.microsoft.com/office/drawing/2014/main" id="{AF25A2B1-37FE-247A-6FF6-C69037F14B72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B85DB1EE-AE85-7EBD-DAFD-2CCD592CDD4D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00D92A23-1176-78BE-8580-EE19A490910B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4702" name="Group 183">
          <a:extLst>
            <a:ext uri="{FF2B5EF4-FFF2-40B4-BE49-F238E27FC236}">
              <a16:creationId xmlns:a16="http://schemas.microsoft.com/office/drawing/2014/main" id="{DA6F0B7E-C59E-E6AF-1AF3-F13D925ADC03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02041EC7-5655-AD6C-DED4-DF2AEDEDFD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4722" name="Line 2507">
            <a:extLst>
              <a:ext uri="{FF2B5EF4-FFF2-40B4-BE49-F238E27FC236}">
                <a16:creationId xmlns:a16="http://schemas.microsoft.com/office/drawing/2014/main" id="{E1278ED1-1152-542B-907D-8226F13EC814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899AEE5F-6FF1-C641-0A9B-29C60CAC6A1F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F05B5B8C-BD53-D25A-05B9-F3E31423AB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39EC486D-A394-477A-CD90-7F7F3FAE5B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8F8EEB2E-7054-D06B-7754-32788E875A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0D6AD43E-E2D5-8229-F127-33E18A7FBD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4728" name="Line 2515">
            <a:extLst>
              <a:ext uri="{FF2B5EF4-FFF2-40B4-BE49-F238E27FC236}">
                <a16:creationId xmlns:a16="http://schemas.microsoft.com/office/drawing/2014/main" id="{D19943C1-D8A1-C0E7-DDE4-A6E8A6C7A784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293F75F8-57FB-0CE8-8F85-BE1024099902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DC898D67-C40E-A8B7-C5D1-2ED4A4B8E447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2235AEA1-27E5-C823-9054-C392EBE725E5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ADFBFA52-D0F1-0B44-8880-286D7E220498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E3C0EE31-1660-E349-07CD-299CC57F73CC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F7785FD5-0CF0-92AB-5E19-5B72BF789DF7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C2DE1AE2-A29D-30F8-1E8B-A6BACCF9F4C3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4709" name="Line 2515">
          <a:extLst>
            <a:ext uri="{FF2B5EF4-FFF2-40B4-BE49-F238E27FC236}">
              <a16:creationId xmlns:a16="http://schemas.microsoft.com/office/drawing/2014/main" id="{B8C77BE8-A361-AE74-646E-AD577A9F2BF8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504181A6-FA79-E17D-92CC-37A8FE30926F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2B96F193-3010-7D4E-9012-EF874818D223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11F04BC6-2489-EE8C-C356-F9804C87E6CB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74D34FEB-63CA-F8EC-0132-FD43010AA205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44558AED-C32C-2D94-F94C-3EC5EF4D270C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EA36C591-098A-0DA9-F741-F7182F51E3FB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3CEB82B4-2FFC-0E00-D264-DCACA1A61726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6FD3914F-E2DF-A8CB-2513-279254737D93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C8E035A4-F995-1D5F-34E5-F6333F59FC50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B670A068-D962-B6AD-8FF7-884FA4C8215D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E0BF8D02-D2E5-C21D-7CF1-70181DBF9CAA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5572" name="Rectangle 1">
          <a:extLst>
            <a:ext uri="{FF2B5EF4-FFF2-40B4-BE49-F238E27FC236}">
              <a16:creationId xmlns:a16="http://schemas.microsoft.com/office/drawing/2014/main" id="{A4F97AB1-132C-2D7B-B1FE-3FC60C342BF7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5573" name="Line 2">
          <a:extLst>
            <a:ext uri="{FF2B5EF4-FFF2-40B4-BE49-F238E27FC236}">
              <a16:creationId xmlns:a16="http://schemas.microsoft.com/office/drawing/2014/main" id="{C0EAE26A-B6C1-400F-8B52-E2744F40FB97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5574" name="Line 3">
          <a:extLst>
            <a:ext uri="{FF2B5EF4-FFF2-40B4-BE49-F238E27FC236}">
              <a16:creationId xmlns:a16="http://schemas.microsoft.com/office/drawing/2014/main" id="{A1D3AB0B-BD01-6E61-6798-C18DAAB05FC8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5" name="Line 4">
          <a:extLst>
            <a:ext uri="{FF2B5EF4-FFF2-40B4-BE49-F238E27FC236}">
              <a16:creationId xmlns:a16="http://schemas.microsoft.com/office/drawing/2014/main" id="{F5C18661-D190-33A6-FBAB-6D2DFD9D99EF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6" name="Line 5">
          <a:extLst>
            <a:ext uri="{FF2B5EF4-FFF2-40B4-BE49-F238E27FC236}">
              <a16:creationId xmlns:a16="http://schemas.microsoft.com/office/drawing/2014/main" id="{0FCAD01B-34D4-EE30-A5EA-CF94822DE5B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7" name="Line 6">
          <a:extLst>
            <a:ext uri="{FF2B5EF4-FFF2-40B4-BE49-F238E27FC236}">
              <a16:creationId xmlns:a16="http://schemas.microsoft.com/office/drawing/2014/main" id="{12779014-320A-2118-952E-EF58E408EAC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8" name="Line 7">
          <a:extLst>
            <a:ext uri="{FF2B5EF4-FFF2-40B4-BE49-F238E27FC236}">
              <a16:creationId xmlns:a16="http://schemas.microsoft.com/office/drawing/2014/main" id="{3269FAC0-BC46-0A8F-EB8B-CF6356D1A47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9" name="Line 8">
          <a:extLst>
            <a:ext uri="{FF2B5EF4-FFF2-40B4-BE49-F238E27FC236}">
              <a16:creationId xmlns:a16="http://schemas.microsoft.com/office/drawing/2014/main" id="{CBCACABB-8FBA-2BA6-53B8-5F110193EA12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0" name="Line 9">
          <a:extLst>
            <a:ext uri="{FF2B5EF4-FFF2-40B4-BE49-F238E27FC236}">
              <a16:creationId xmlns:a16="http://schemas.microsoft.com/office/drawing/2014/main" id="{52BA7F19-B4AA-600F-E895-AE2281674E5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1" name="Line 10">
          <a:extLst>
            <a:ext uri="{FF2B5EF4-FFF2-40B4-BE49-F238E27FC236}">
              <a16:creationId xmlns:a16="http://schemas.microsoft.com/office/drawing/2014/main" id="{CE8173CF-E42A-290D-9DFD-DB772CEC3D9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2" name="Line 11">
          <a:extLst>
            <a:ext uri="{FF2B5EF4-FFF2-40B4-BE49-F238E27FC236}">
              <a16:creationId xmlns:a16="http://schemas.microsoft.com/office/drawing/2014/main" id="{2AF1F2D2-F5BA-2DE7-E1BC-B2E3D19F7C0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3" name="Line 12">
          <a:extLst>
            <a:ext uri="{FF2B5EF4-FFF2-40B4-BE49-F238E27FC236}">
              <a16:creationId xmlns:a16="http://schemas.microsoft.com/office/drawing/2014/main" id="{40517D46-3E7A-8B4A-A9C9-89FFB6576A8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4" name="Line 13">
          <a:extLst>
            <a:ext uri="{FF2B5EF4-FFF2-40B4-BE49-F238E27FC236}">
              <a16:creationId xmlns:a16="http://schemas.microsoft.com/office/drawing/2014/main" id="{2AFAC22C-831F-F24B-0B1E-11008B5D54B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5585" name="Line 14">
          <a:extLst>
            <a:ext uri="{FF2B5EF4-FFF2-40B4-BE49-F238E27FC236}">
              <a16:creationId xmlns:a16="http://schemas.microsoft.com/office/drawing/2014/main" id="{CEFA874E-F1E5-40CD-44AD-762020F2AAEC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5586" name="Line 15">
          <a:extLst>
            <a:ext uri="{FF2B5EF4-FFF2-40B4-BE49-F238E27FC236}">
              <a16:creationId xmlns:a16="http://schemas.microsoft.com/office/drawing/2014/main" id="{8F7974CE-24D3-FF1C-EE08-0B0598F43076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87" name="Line 16">
          <a:extLst>
            <a:ext uri="{FF2B5EF4-FFF2-40B4-BE49-F238E27FC236}">
              <a16:creationId xmlns:a16="http://schemas.microsoft.com/office/drawing/2014/main" id="{8C68B7C5-CDC8-0ACE-1003-0CBAEA97595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5588" name="Line 17">
          <a:extLst>
            <a:ext uri="{FF2B5EF4-FFF2-40B4-BE49-F238E27FC236}">
              <a16:creationId xmlns:a16="http://schemas.microsoft.com/office/drawing/2014/main" id="{CF909C57-E0CD-F330-DF42-F0CAAF76C150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5589" name="Line 18">
          <a:extLst>
            <a:ext uri="{FF2B5EF4-FFF2-40B4-BE49-F238E27FC236}">
              <a16:creationId xmlns:a16="http://schemas.microsoft.com/office/drawing/2014/main" id="{1884216A-4D27-4166-13DE-CAC79BE79E4C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0" name="Line 19">
          <a:extLst>
            <a:ext uri="{FF2B5EF4-FFF2-40B4-BE49-F238E27FC236}">
              <a16:creationId xmlns:a16="http://schemas.microsoft.com/office/drawing/2014/main" id="{159D67E6-3DF8-0274-09E5-20BBDB059AB5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1" name="Line 20">
          <a:extLst>
            <a:ext uri="{FF2B5EF4-FFF2-40B4-BE49-F238E27FC236}">
              <a16:creationId xmlns:a16="http://schemas.microsoft.com/office/drawing/2014/main" id="{1D3875F9-9143-D909-AF9F-C34E78AADA99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2" name="Line 21">
          <a:extLst>
            <a:ext uri="{FF2B5EF4-FFF2-40B4-BE49-F238E27FC236}">
              <a16:creationId xmlns:a16="http://schemas.microsoft.com/office/drawing/2014/main" id="{9165A150-2F66-8FBC-B8D4-BBFC33EA5AC3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3" name="Line 22">
          <a:extLst>
            <a:ext uri="{FF2B5EF4-FFF2-40B4-BE49-F238E27FC236}">
              <a16:creationId xmlns:a16="http://schemas.microsoft.com/office/drawing/2014/main" id="{CD7ACD96-1F50-63A4-824C-9F0580792375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4" name="Line 23">
          <a:extLst>
            <a:ext uri="{FF2B5EF4-FFF2-40B4-BE49-F238E27FC236}">
              <a16:creationId xmlns:a16="http://schemas.microsoft.com/office/drawing/2014/main" id="{9FDB3D0A-271A-5E32-EF50-34DBF4341614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5" name="Line 24">
          <a:extLst>
            <a:ext uri="{FF2B5EF4-FFF2-40B4-BE49-F238E27FC236}">
              <a16:creationId xmlns:a16="http://schemas.microsoft.com/office/drawing/2014/main" id="{0611E288-E161-B520-803E-4F0A6011790D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6" name="Line 25">
          <a:extLst>
            <a:ext uri="{FF2B5EF4-FFF2-40B4-BE49-F238E27FC236}">
              <a16:creationId xmlns:a16="http://schemas.microsoft.com/office/drawing/2014/main" id="{B1842CEC-980E-8F54-377D-7D9126F72877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E9B9044B-58DD-36E8-7E32-A57BDDCB2363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5598" name="Line 27">
          <a:extLst>
            <a:ext uri="{FF2B5EF4-FFF2-40B4-BE49-F238E27FC236}">
              <a16:creationId xmlns:a16="http://schemas.microsoft.com/office/drawing/2014/main" id="{98CF18E3-6C89-44F9-40FE-AD4DC30DA8A6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5599" name="Line 28">
          <a:extLst>
            <a:ext uri="{FF2B5EF4-FFF2-40B4-BE49-F238E27FC236}">
              <a16:creationId xmlns:a16="http://schemas.microsoft.com/office/drawing/2014/main" id="{D6ED572C-4833-5478-C387-D00B91AFB7C0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02CC9A2B-7FD9-46F6-114A-5257D74C43A4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1" name="Line 30">
          <a:extLst>
            <a:ext uri="{FF2B5EF4-FFF2-40B4-BE49-F238E27FC236}">
              <a16:creationId xmlns:a16="http://schemas.microsoft.com/office/drawing/2014/main" id="{CC8C7C8A-06E7-2D39-07BF-50911321C34B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2" name="Line 31">
          <a:extLst>
            <a:ext uri="{FF2B5EF4-FFF2-40B4-BE49-F238E27FC236}">
              <a16:creationId xmlns:a16="http://schemas.microsoft.com/office/drawing/2014/main" id="{3A3A13D2-4719-67AF-3530-6933B9467877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3" name="Line 32">
          <a:extLst>
            <a:ext uri="{FF2B5EF4-FFF2-40B4-BE49-F238E27FC236}">
              <a16:creationId xmlns:a16="http://schemas.microsoft.com/office/drawing/2014/main" id="{D6CFF439-C642-BD5A-0294-E2AB1FF5A977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4" name="Line 33">
          <a:extLst>
            <a:ext uri="{FF2B5EF4-FFF2-40B4-BE49-F238E27FC236}">
              <a16:creationId xmlns:a16="http://schemas.microsoft.com/office/drawing/2014/main" id="{15CED969-426D-DC4E-9949-FE0FC39C631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5605" name="Rectangle 34">
          <a:extLst>
            <a:ext uri="{FF2B5EF4-FFF2-40B4-BE49-F238E27FC236}">
              <a16:creationId xmlns:a16="http://schemas.microsoft.com/office/drawing/2014/main" id="{D9D9CF57-7117-0E1A-CBD8-DD2C023A9854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5606" name="Line 35">
          <a:extLst>
            <a:ext uri="{FF2B5EF4-FFF2-40B4-BE49-F238E27FC236}">
              <a16:creationId xmlns:a16="http://schemas.microsoft.com/office/drawing/2014/main" id="{FED32844-D778-001E-CE02-B0F5DE27FDB3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5607" name="Line 36">
          <a:extLst>
            <a:ext uri="{FF2B5EF4-FFF2-40B4-BE49-F238E27FC236}">
              <a16:creationId xmlns:a16="http://schemas.microsoft.com/office/drawing/2014/main" id="{24CFC583-9F49-E214-BE31-9B156B36F8BC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08" name="Line 37">
          <a:extLst>
            <a:ext uri="{FF2B5EF4-FFF2-40B4-BE49-F238E27FC236}">
              <a16:creationId xmlns:a16="http://schemas.microsoft.com/office/drawing/2014/main" id="{81E042F1-B548-7877-607A-D778E90D382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09" name="Line 38">
          <a:extLst>
            <a:ext uri="{FF2B5EF4-FFF2-40B4-BE49-F238E27FC236}">
              <a16:creationId xmlns:a16="http://schemas.microsoft.com/office/drawing/2014/main" id="{85B4B20C-3A9D-259B-88C0-E883FB13A909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0" name="Line 39">
          <a:extLst>
            <a:ext uri="{FF2B5EF4-FFF2-40B4-BE49-F238E27FC236}">
              <a16:creationId xmlns:a16="http://schemas.microsoft.com/office/drawing/2014/main" id="{C07008F4-99E9-337F-E0DE-5EFAC150FB0C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1" name="Line 40">
          <a:extLst>
            <a:ext uri="{FF2B5EF4-FFF2-40B4-BE49-F238E27FC236}">
              <a16:creationId xmlns:a16="http://schemas.microsoft.com/office/drawing/2014/main" id="{1A88E913-E919-DBFF-9A1A-F7D35757ABC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2" name="Line 41">
          <a:extLst>
            <a:ext uri="{FF2B5EF4-FFF2-40B4-BE49-F238E27FC236}">
              <a16:creationId xmlns:a16="http://schemas.microsoft.com/office/drawing/2014/main" id="{EE9D7245-EEEC-D967-BB41-1AFB6B3539E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3" name="Line 42">
          <a:extLst>
            <a:ext uri="{FF2B5EF4-FFF2-40B4-BE49-F238E27FC236}">
              <a16:creationId xmlns:a16="http://schemas.microsoft.com/office/drawing/2014/main" id="{5B5AFAC7-4383-F327-7A91-42C022A09CDD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4" name="Line 43">
          <a:extLst>
            <a:ext uri="{FF2B5EF4-FFF2-40B4-BE49-F238E27FC236}">
              <a16:creationId xmlns:a16="http://schemas.microsoft.com/office/drawing/2014/main" id="{9E723EDE-CA83-A65C-674D-93430B410AF5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5" name="Line 44">
          <a:extLst>
            <a:ext uri="{FF2B5EF4-FFF2-40B4-BE49-F238E27FC236}">
              <a16:creationId xmlns:a16="http://schemas.microsoft.com/office/drawing/2014/main" id="{E186E4D8-59F5-8E69-83DA-DE6CBF5B0720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6" name="Line 45">
          <a:extLst>
            <a:ext uri="{FF2B5EF4-FFF2-40B4-BE49-F238E27FC236}">
              <a16:creationId xmlns:a16="http://schemas.microsoft.com/office/drawing/2014/main" id="{C1DAF0B0-F936-EA5D-F9F2-1352FEF59EEB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7" name="Line 46">
          <a:extLst>
            <a:ext uri="{FF2B5EF4-FFF2-40B4-BE49-F238E27FC236}">
              <a16:creationId xmlns:a16="http://schemas.microsoft.com/office/drawing/2014/main" id="{331BF8BE-8E27-E799-0507-3626D6E295B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5618" name="Line 47">
          <a:extLst>
            <a:ext uri="{FF2B5EF4-FFF2-40B4-BE49-F238E27FC236}">
              <a16:creationId xmlns:a16="http://schemas.microsoft.com/office/drawing/2014/main" id="{86E68D41-AEB1-7035-6622-7270CCDF05FC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5619" name="Line 48">
          <a:extLst>
            <a:ext uri="{FF2B5EF4-FFF2-40B4-BE49-F238E27FC236}">
              <a16:creationId xmlns:a16="http://schemas.microsoft.com/office/drawing/2014/main" id="{542C430C-4C14-88F5-CBC8-9BF604B4C063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20" name="Line 49">
          <a:extLst>
            <a:ext uri="{FF2B5EF4-FFF2-40B4-BE49-F238E27FC236}">
              <a16:creationId xmlns:a16="http://schemas.microsoft.com/office/drawing/2014/main" id="{E096FA0E-9161-320D-4701-0783AAC95A7F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5621" name="Line 50">
          <a:extLst>
            <a:ext uri="{FF2B5EF4-FFF2-40B4-BE49-F238E27FC236}">
              <a16:creationId xmlns:a16="http://schemas.microsoft.com/office/drawing/2014/main" id="{84AB7316-18E6-AA2C-4499-50B9A08123B8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5622" name="Line 51">
          <a:extLst>
            <a:ext uri="{FF2B5EF4-FFF2-40B4-BE49-F238E27FC236}">
              <a16:creationId xmlns:a16="http://schemas.microsoft.com/office/drawing/2014/main" id="{C3D15159-9B4C-9192-CE55-BEBB31D1EE16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623" name="Line 52">
          <a:extLst>
            <a:ext uri="{FF2B5EF4-FFF2-40B4-BE49-F238E27FC236}">
              <a16:creationId xmlns:a16="http://schemas.microsoft.com/office/drawing/2014/main" id="{F4739EE9-5151-2DB7-0BDB-4F3547B1226E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24" name="Line 53">
          <a:extLst>
            <a:ext uri="{FF2B5EF4-FFF2-40B4-BE49-F238E27FC236}">
              <a16:creationId xmlns:a16="http://schemas.microsoft.com/office/drawing/2014/main" id="{C60F8CFF-868C-4CC9-881F-4B332DD33BAF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25" name="Line 54">
          <a:extLst>
            <a:ext uri="{FF2B5EF4-FFF2-40B4-BE49-F238E27FC236}">
              <a16:creationId xmlns:a16="http://schemas.microsoft.com/office/drawing/2014/main" id="{94D196EF-FBBD-2ED4-AFF7-4D36C7C47BB3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5626" name="Line 55">
          <a:extLst>
            <a:ext uri="{FF2B5EF4-FFF2-40B4-BE49-F238E27FC236}">
              <a16:creationId xmlns:a16="http://schemas.microsoft.com/office/drawing/2014/main" id="{F29A465C-37A4-AF6D-C955-B13DD368D569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2E2F64F7-A482-AABA-ED35-672B1AA116D6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79F2E536-132C-3FCE-FF55-EBA15D3F646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2F8A1654-4E16-B4B2-F5C9-95DB8D9DAB12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8B46772A-095C-C79A-4311-3E3157D8648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5A4E22D1-6EF6-5837-E2CE-9D478B84E17C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7238D9A0-3C4A-5AEC-C0F1-0C791D28FD68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5633" name="Line 62">
          <a:extLst>
            <a:ext uri="{FF2B5EF4-FFF2-40B4-BE49-F238E27FC236}">
              <a16:creationId xmlns:a16="http://schemas.microsoft.com/office/drawing/2014/main" id="{C57B1DA8-E1F7-7204-271F-395F1CD51647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5634" name="Line 63">
          <a:extLst>
            <a:ext uri="{FF2B5EF4-FFF2-40B4-BE49-F238E27FC236}">
              <a16:creationId xmlns:a16="http://schemas.microsoft.com/office/drawing/2014/main" id="{C39BE16D-D745-7EE7-013B-1D965848D47C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65</xdr:row>
      <xdr:rowOff>7620</xdr:rowOff>
    </xdr:from>
    <xdr:to>
      <xdr:col>6</xdr:col>
      <xdr:colOff>655320</xdr:colOff>
      <xdr:row>65</xdr:row>
      <xdr:rowOff>7620</xdr:rowOff>
    </xdr:to>
    <xdr:sp macro="" textlink="">
      <xdr:nvSpPr>
        <xdr:cNvPr id="28975635" name="Line 64">
          <a:extLst>
            <a:ext uri="{FF2B5EF4-FFF2-40B4-BE49-F238E27FC236}">
              <a16:creationId xmlns:a16="http://schemas.microsoft.com/office/drawing/2014/main" id="{33E2439E-A578-6A51-FD3E-CBDC59B1EED6}"/>
            </a:ext>
          </a:extLst>
        </xdr:cNvPr>
        <xdr:cNvSpPr>
          <a:spLocks noChangeShapeType="1"/>
        </xdr:cNvSpPr>
      </xdr:nvSpPr>
      <xdr:spPr bwMode="auto">
        <a:xfrm flipV="1">
          <a:off x="47396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5636" name="Line 65">
          <a:extLst>
            <a:ext uri="{FF2B5EF4-FFF2-40B4-BE49-F238E27FC236}">
              <a16:creationId xmlns:a16="http://schemas.microsoft.com/office/drawing/2014/main" id="{72612AA1-E7C2-D137-269F-80B9B10E5472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5637" name="Line 66">
          <a:extLst>
            <a:ext uri="{FF2B5EF4-FFF2-40B4-BE49-F238E27FC236}">
              <a16:creationId xmlns:a16="http://schemas.microsoft.com/office/drawing/2014/main" id="{C098AF47-07BE-A3DC-5A93-26BADD8A69EB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5638" name="Line 67">
          <a:extLst>
            <a:ext uri="{FF2B5EF4-FFF2-40B4-BE49-F238E27FC236}">
              <a16:creationId xmlns:a16="http://schemas.microsoft.com/office/drawing/2014/main" id="{9FDA09D1-B323-B6CF-7E56-BBE2A5DD05C8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F580A311-8823-9EC8-3A9C-3509724A5A97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5640" name="Line 69">
          <a:extLst>
            <a:ext uri="{FF2B5EF4-FFF2-40B4-BE49-F238E27FC236}">
              <a16:creationId xmlns:a16="http://schemas.microsoft.com/office/drawing/2014/main" id="{6968C5F8-0C6D-2A7C-F1C1-1A5863ADAA54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6D23E885-FE04-4B7F-7880-0CAEDC388DF1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5642" name="Line 71">
          <a:extLst>
            <a:ext uri="{FF2B5EF4-FFF2-40B4-BE49-F238E27FC236}">
              <a16:creationId xmlns:a16="http://schemas.microsoft.com/office/drawing/2014/main" id="{C728B7B8-7018-7D2B-D782-339F9BFAE72B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5643" name="Line 72">
          <a:extLst>
            <a:ext uri="{FF2B5EF4-FFF2-40B4-BE49-F238E27FC236}">
              <a16:creationId xmlns:a16="http://schemas.microsoft.com/office/drawing/2014/main" id="{4191EA44-C445-2446-8FA2-BFB05D36C120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5644" name="Line 73">
          <a:extLst>
            <a:ext uri="{FF2B5EF4-FFF2-40B4-BE49-F238E27FC236}">
              <a16:creationId xmlns:a16="http://schemas.microsoft.com/office/drawing/2014/main" id="{D489F880-798C-BB52-229C-C0B1F54EEF87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CE1935F5-810C-477F-D2B3-A222EEAE7614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576DFE8B-516A-D13C-0BCB-9EC0AC10B6BD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6EE0AF73-4977-7DD0-BBD1-93D3238810AA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D013FD23-4945-7C71-7C44-B98281233A8C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5649" name="Line 78">
          <a:extLst>
            <a:ext uri="{FF2B5EF4-FFF2-40B4-BE49-F238E27FC236}">
              <a16:creationId xmlns:a16="http://schemas.microsoft.com/office/drawing/2014/main" id="{DB861B2D-1204-D6ED-4A77-D1E73F916CF6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5650" name="Line 79">
          <a:extLst>
            <a:ext uri="{FF2B5EF4-FFF2-40B4-BE49-F238E27FC236}">
              <a16:creationId xmlns:a16="http://schemas.microsoft.com/office/drawing/2014/main" id="{F4BBFB2F-74FF-0CC7-F38E-274E38DDB98C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5651" name="Line 80">
          <a:extLst>
            <a:ext uri="{FF2B5EF4-FFF2-40B4-BE49-F238E27FC236}">
              <a16:creationId xmlns:a16="http://schemas.microsoft.com/office/drawing/2014/main" id="{234302FE-B82A-50A9-28F1-806F6AB83407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5652" name="Line 81">
          <a:extLst>
            <a:ext uri="{FF2B5EF4-FFF2-40B4-BE49-F238E27FC236}">
              <a16:creationId xmlns:a16="http://schemas.microsoft.com/office/drawing/2014/main" id="{835E296C-5F6D-CFCA-BF94-B47FCD636B2C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5653" name="Line 82">
          <a:extLst>
            <a:ext uri="{FF2B5EF4-FFF2-40B4-BE49-F238E27FC236}">
              <a16:creationId xmlns:a16="http://schemas.microsoft.com/office/drawing/2014/main" id="{31387418-F93D-D4D1-4968-98CC18C67D87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5654" name="Line 83">
          <a:extLst>
            <a:ext uri="{FF2B5EF4-FFF2-40B4-BE49-F238E27FC236}">
              <a16:creationId xmlns:a16="http://schemas.microsoft.com/office/drawing/2014/main" id="{107E2E51-2B7E-5564-8FCB-13A59E80CFE7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E9CD2616-9DE7-F394-B3CC-8008988058EC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5656" name="Line 85">
          <a:extLst>
            <a:ext uri="{FF2B5EF4-FFF2-40B4-BE49-F238E27FC236}">
              <a16:creationId xmlns:a16="http://schemas.microsoft.com/office/drawing/2014/main" id="{F3ED6B33-ECCD-37A8-A410-535F5F0E2514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5657" name="Line 86">
          <a:extLst>
            <a:ext uri="{FF2B5EF4-FFF2-40B4-BE49-F238E27FC236}">
              <a16:creationId xmlns:a16="http://schemas.microsoft.com/office/drawing/2014/main" id="{467C5931-43D3-C672-F6DF-A251242EBB41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BCEF150C-3749-2208-6C2A-9626FF510341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5659" name="Line 88">
          <a:extLst>
            <a:ext uri="{FF2B5EF4-FFF2-40B4-BE49-F238E27FC236}">
              <a16:creationId xmlns:a16="http://schemas.microsoft.com/office/drawing/2014/main" id="{56FF4706-D2C2-AE58-059D-C695BD120592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5660" name="Line 89">
          <a:extLst>
            <a:ext uri="{FF2B5EF4-FFF2-40B4-BE49-F238E27FC236}">
              <a16:creationId xmlns:a16="http://schemas.microsoft.com/office/drawing/2014/main" id="{9141E60F-69BE-57E7-8848-1927CA79A4EB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5661" name="Line 90">
          <a:extLst>
            <a:ext uri="{FF2B5EF4-FFF2-40B4-BE49-F238E27FC236}">
              <a16:creationId xmlns:a16="http://schemas.microsoft.com/office/drawing/2014/main" id="{373FA916-B801-5558-D711-A3536D771CBE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5662" name="Line 91">
          <a:extLst>
            <a:ext uri="{FF2B5EF4-FFF2-40B4-BE49-F238E27FC236}">
              <a16:creationId xmlns:a16="http://schemas.microsoft.com/office/drawing/2014/main" id="{2C00004A-253F-83F9-148C-649603BFF988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5663" name="Line 92">
          <a:extLst>
            <a:ext uri="{FF2B5EF4-FFF2-40B4-BE49-F238E27FC236}">
              <a16:creationId xmlns:a16="http://schemas.microsoft.com/office/drawing/2014/main" id="{CD4C4826-E88F-2E36-ACE6-610AC0CD4A7A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5664" name="AutoShape 93" descr="Stationery">
          <a:extLst>
            <a:ext uri="{FF2B5EF4-FFF2-40B4-BE49-F238E27FC236}">
              <a16:creationId xmlns:a16="http://schemas.microsoft.com/office/drawing/2014/main" id="{4B7B6B6E-974C-6098-3694-B54ABB184CBF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5665" name="Line 94">
          <a:extLst>
            <a:ext uri="{FF2B5EF4-FFF2-40B4-BE49-F238E27FC236}">
              <a16:creationId xmlns:a16="http://schemas.microsoft.com/office/drawing/2014/main" id="{93D05B11-F4CC-4B00-521A-5127A2889B19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5666" name="Line 95">
          <a:extLst>
            <a:ext uri="{FF2B5EF4-FFF2-40B4-BE49-F238E27FC236}">
              <a16:creationId xmlns:a16="http://schemas.microsoft.com/office/drawing/2014/main" id="{DD2D350D-3251-6DDE-ED86-F0D439A843BA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D7F7B13E-9B15-0856-9383-3B9B5FCA358F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654EBA55-3EE1-BB1B-4E60-17B210F372F1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5669" name="Line 98">
          <a:extLst>
            <a:ext uri="{FF2B5EF4-FFF2-40B4-BE49-F238E27FC236}">
              <a16:creationId xmlns:a16="http://schemas.microsoft.com/office/drawing/2014/main" id="{D5C9A222-F865-F137-67CD-F26A202D696F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5670" name="Line 99">
          <a:extLst>
            <a:ext uri="{FF2B5EF4-FFF2-40B4-BE49-F238E27FC236}">
              <a16:creationId xmlns:a16="http://schemas.microsoft.com/office/drawing/2014/main" id="{ED79383B-5044-3916-AB56-568A4134FCC5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5671" name="Line 100">
          <a:extLst>
            <a:ext uri="{FF2B5EF4-FFF2-40B4-BE49-F238E27FC236}">
              <a16:creationId xmlns:a16="http://schemas.microsoft.com/office/drawing/2014/main" id="{43A63124-C801-29AE-9469-1723A3F9E915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5672" name="Line 101">
          <a:extLst>
            <a:ext uri="{FF2B5EF4-FFF2-40B4-BE49-F238E27FC236}">
              <a16:creationId xmlns:a16="http://schemas.microsoft.com/office/drawing/2014/main" id="{B664F848-313E-5649-910C-049B50B10E59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73" name="Line 102">
          <a:extLst>
            <a:ext uri="{FF2B5EF4-FFF2-40B4-BE49-F238E27FC236}">
              <a16:creationId xmlns:a16="http://schemas.microsoft.com/office/drawing/2014/main" id="{439F588B-82FD-B837-C17C-1F7D27597F3F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B0A9FFE9-9CA1-CF52-8436-8D3CAAFB43AD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5675" name="Line 104">
          <a:extLst>
            <a:ext uri="{FF2B5EF4-FFF2-40B4-BE49-F238E27FC236}">
              <a16:creationId xmlns:a16="http://schemas.microsoft.com/office/drawing/2014/main" id="{695CEB20-4803-B005-CC00-0BBF3DC4C600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1E3DF740-3842-836C-E16E-9B9792D11CBA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5677" name="Line 106">
          <a:extLst>
            <a:ext uri="{FF2B5EF4-FFF2-40B4-BE49-F238E27FC236}">
              <a16:creationId xmlns:a16="http://schemas.microsoft.com/office/drawing/2014/main" id="{7F40E798-8236-F9DB-546A-D7102E177866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3FC74285-D8E7-A0A0-8D48-03E58B27801F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5679" name="Freeform 108">
          <a:extLst>
            <a:ext uri="{FF2B5EF4-FFF2-40B4-BE49-F238E27FC236}">
              <a16:creationId xmlns:a16="http://schemas.microsoft.com/office/drawing/2014/main" id="{A3A23EB1-6E3A-75F0-85E7-422576532D12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5680" name="Line 109">
          <a:extLst>
            <a:ext uri="{FF2B5EF4-FFF2-40B4-BE49-F238E27FC236}">
              <a16:creationId xmlns:a16="http://schemas.microsoft.com/office/drawing/2014/main" id="{A758B766-F5BE-F971-01FC-17B71FBC5177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5681" name="Line 110">
          <a:extLst>
            <a:ext uri="{FF2B5EF4-FFF2-40B4-BE49-F238E27FC236}">
              <a16:creationId xmlns:a16="http://schemas.microsoft.com/office/drawing/2014/main" id="{8DA1ACFF-5326-EE97-DF84-E5B7C5654F12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5682" name="Line 111">
          <a:extLst>
            <a:ext uri="{FF2B5EF4-FFF2-40B4-BE49-F238E27FC236}">
              <a16:creationId xmlns:a16="http://schemas.microsoft.com/office/drawing/2014/main" id="{5E0D02A2-41FE-D807-48A7-61FD383554E0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5683" name="Line 112">
          <a:extLst>
            <a:ext uri="{FF2B5EF4-FFF2-40B4-BE49-F238E27FC236}">
              <a16:creationId xmlns:a16="http://schemas.microsoft.com/office/drawing/2014/main" id="{D6A65E29-4AC3-B5E1-7748-8603FF27DB79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5684" name="Line 113">
          <a:extLst>
            <a:ext uri="{FF2B5EF4-FFF2-40B4-BE49-F238E27FC236}">
              <a16:creationId xmlns:a16="http://schemas.microsoft.com/office/drawing/2014/main" id="{67DE648E-DBD0-3510-C349-6EFA3BE374A8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5685" name="Line 114">
          <a:extLst>
            <a:ext uri="{FF2B5EF4-FFF2-40B4-BE49-F238E27FC236}">
              <a16:creationId xmlns:a16="http://schemas.microsoft.com/office/drawing/2014/main" id="{790BB776-D183-B1E9-8880-6C5D65C5DECE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5686" name="Line 115">
          <a:extLst>
            <a:ext uri="{FF2B5EF4-FFF2-40B4-BE49-F238E27FC236}">
              <a16:creationId xmlns:a16="http://schemas.microsoft.com/office/drawing/2014/main" id="{644DC861-C8D0-D716-F7C2-17DF776B2B2D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5687" name="Line 116">
          <a:extLst>
            <a:ext uri="{FF2B5EF4-FFF2-40B4-BE49-F238E27FC236}">
              <a16:creationId xmlns:a16="http://schemas.microsoft.com/office/drawing/2014/main" id="{3DC15E52-0C9A-6A4A-35AA-AA62BBF96F5B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5688" name="Line 117">
          <a:extLst>
            <a:ext uri="{FF2B5EF4-FFF2-40B4-BE49-F238E27FC236}">
              <a16:creationId xmlns:a16="http://schemas.microsoft.com/office/drawing/2014/main" id="{36628D31-53EE-4106-385E-723489F0A61F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5689" name="Line 118">
          <a:extLst>
            <a:ext uri="{FF2B5EF4-FFF2-40B4-BE49-F238E27FC236}">
              <a16:creationId xmlns:a16="http://schemas.microsoft.com/office/drawing/2014/main" id="{85C806A3-CFF6-4E17-3326-F229E71B8218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0" name="Line 119">
          <a:extLst>
            <a:ext uri="{FF2B5EF4-FFF2-40B4-BE49-F238E27FC236}">
              <a16:creationId xmlns:a16="http://schemas.microsoft.com/office/drawing/2014/main" id="{70E18E8A-312B-DC7B-FEA8-83858E44B9EB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1" name="Line 120">
          <a:extLst>
            <a:ext uri="{FF2B5EF4-FFF2-40B4-BE49-F238E27FC236}">
              <a16:creationId xmlns:a16="http://schemas.microsoft.com/office/drawing/2014/main" id="{0807CDB4-9784-80C7-AE84-9B2A01033B0D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2" name="Line 121">
          <a:extLst>
            <a:ext uri="{FF2B5EF4-FFF2-40B4-BE49-F238E27FC236}">
              <a16:creationId xmlns:a16="http://schemas.microsoft.com/office/drawing/2014/main" id="{BFC64733-38B6-6275-784D-D1ACE56B1F23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5693" name="Line 122">
          <a:extLst>
            <a:ext uri="{FF2B5EF4-FFF2-40B4-BE49-F238E27FC236}">
              <a16:creationId xmlns:a16="http://schemas.microsoft.com/office/drawing/2014/main" id="{476E91B9-E603-BBF2-62B8-49D9D070BC11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5694" name="Line 123">
          <a:extLst>
            <a:ext uri="{FF2B5EF4-FFF2-40B4-BE49-F238E27FC236}">
              <a16:creationId xmlns:a16="http://schemas.microsoft.com/office/drawing/2014/main" id="{1EBE4B26-C006-38C1-6E60-0095DA0CDC9E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5695" name="Line 124">
          <a:extLst>
            <a:ext uri="{FF2B5EF4-FFF2-40B4-BE49-F238E27FC236}">
              <a16:creationId xmlns:a16="http://schemas.microsoft.com/office/drawing/2014/main" id="{EF666F60-7996-578E-23D7-3CDBF353569D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5696" name="Line 125">
          <a:extLst>
            <a:ext uri="{FF2B5EF4-FFF2-40B4-BE49-F238E27FC236}">
              <a16:creationId xmlns:a16="http://schemas.microsoft.com/office/drawing/2014/main" id="{EC2E0CD8-33FE-69FE-4162-6D2DEEA6DCB5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5697" name="Line 126">
          <a:extLst>
            <a:ext uri="{FF2B5EF4-FFF2-40B4-BE49-F238E27FC236}">
              <a16:creationId xmlns:a16="http://schemas.microsoft.com/office/drawing/2014/main" id="{3E4FB9F4-6C56-D5A5-0322-5F7355E18B20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5698" name="Group 127">
          <a:extLst>
            <a:ext uri="{FF2B5EF4-FFF2-40B4-BE49-F238E27FC236}">
              <a16:creationId xmlns:a16="http://schemas.microsoft.com/office/drawing/2014/main" id="{556412C1-FBCF-8F7C-A2DA-81177F1C64E3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5766" name="Oval 128">
            <a:extLst>
              <a:ext uri="{FF2B5EF4-FFF2-40B4-BE49-F238E27FC236}">
                <a16:creationId xmlns:a16="http://schemas.microsoft.com/office/drawing/2014/main" id="{046FB7DD-A17C-68D6-0B85-2CBA54C8C43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7" name="Line 129">
            <a:extLst>
              <a:ext uri="{FF2B5EF4-FFF2-40B4-BE49-F238E27FC236}">
                <a16:creationId xmlns:a16="http://schemas.microsoft.com/office/drawing/2014/main" id="{ED276DD0-803A-4169-D54A-F8FC859574E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5699" name="Group 130">
          <a:extLst>
            <a:ext uri="{FF2B5EF4-FFF2-40B4-BE49-F238E27FC236}">
              <a16:creationId xmlns:a16="http://schemas.microsoft.com/office/drawing/2014/main" id="{8340BC92-5C5F-5312-7E39-8CADF2B1CC34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5764" name="Oval 131">
            <a:extLst>
              <a:ext uri="{FF2B5EF4-FFF2-40B4-BE49-F238E27FC236}">
                <a16:creationId xmlns:a16="http://schemas.microsoft.com/office/drawing/2014/main" id="{AA907501-610B-FCFC-597A-59B7AC048FA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5" name="Line 132">
            <a:extLst>
              <a:ext uri="{FF2B5EF4-FFF2-40B4-BE49-F238E27FC236}">
                <a16:creationId xmlns:a16="http://schemas.microsoft.com/office/drawing/2014/main" id="{66139B24-3A0F-62E0-CEAF-ABB988FE632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5700" name="Group 133">
          <a:extLst>
            <a:ext uri="{FF2B5EF4-FFF2-40B4-BE49-F238E27FC236}">
              <a16:creationId xmlns:a16="http://schemas.microsoft.com/office/drawing/2014/main" id="{2807BC35-7D6D-9167-B706-AFD66FB1BB07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5762" name="Oval 134">
            <a:extLst>
              <a:ext uri="{FF2B5EF4-FFF2-40B4-BE49-F238E27FC236}">
                <a16:creationId xmlns:a16="http://schemas.microsoft.com/office/drawing/2014/main" id="{ACA5FD33-1C41-69C5-9BE4-A251710A4CC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3" name="Line 135">
            <a:extLst>
              <a:ext uri="{FF2B5EF4-FFF2-40B4-BE49-F238E27FC236}">
                <a16:creationId xmlns:a16="http://schemas.microsoft.com/office/drawing/2014/main" id="{CF5D1195-50B7-31E7-CF56-11AB28631F0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5701" name="Group 136">
          <a:extLst>
            <a:ext uri="{FF2B5EF4-FFF2-40B4-BE49-F238E27FC236}">
              <a16:creationId xmlns:a16="http://schemas.microsoft.com/office/drawing/2014/main" id="{A50A498B-DA2B-0E71-6E48-1CE9F83337E2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5760" name="Oval 137">
            <a:extLst>
              <a:ext uri="{FF2B5EF4-FFF2-40B4-BE49-F238E27FC236}">
                <a16:creationId xmlns:a16="http://schemas.microsoft.com/office/drawing/2014/main" id="{4068F7B1-B3F1-B8D1-992B-21B63D04EFA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1" name="Line 138">
            <a:extLst>
              <a:ext uri="{FF2B5EF4-FFF2-40B4-BE49-F238E27FC236}">
                <a16:creationId xmlns:a16="http://schemas.microsoft.com/office/drawing/2014/main" id="{73D43DE2-4F8E-BAF1-4196-17755E01945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5702" name="Group 139">
          <a:extLst>
            <a:ext uri="{FF2B5EF4-FFF2-40B4-BE49-F238E27FC236}">
              <a16:creationId xmlns:a16="http://schemas.microsoft.com/office/drawing/2014/main" id="{C7A46905-13B4-E3F5-1AF7-43F86778BE4E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5758" name="Oval 140">
            <a:extLst>
              <a:ext uri="{FF2B5EF4-FFF2-40B4-BE49-F238E27FC236}">
                <a16:creationId xmlns:a16="http://schemas.microsoft.com/office/drawing/2014/main" id="{4A3D009D-CB3A-BD1D-BABF-7382F7B23FD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9" name="Line 141">
            <a:extLst>
              <a:ext uri="{FF2B5EF4-FFF2-40B4-BE49-F238E27FC236}">
                <a16:creationId xmlns:a16="http://schemas.microsoft.com/office/drawing/2014/main" id="{6FA98568-63CB-FB77-3F0E-5F0AD764A5B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5703" name="Group 142">
          <a:extLst>
            <a:ext uri="{FF2B5EF4-FFF2-40B4-BE49-F238E27FC236}">
              <a16:creationId xmlns:a16="http://schemas.microsoft.com/office/drawing/2014/main" id="{F4889DAA-ED01-E215-5983-C7093569B12F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5756" name="Oval 143">
            <a:extLst>
              <a:ext uri="{FF2B5EF4-FFF2-40B4-BE49-F238E27FC236}">
                <a16:creationId xmlns:a16="http://schemas.microsoft.com/office/drawing/2014/main" id="{A8C6949E-7C9A-A343-7FB6-940CD990B60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7" name="Line 144">
            <a:extLst>
              <a:ext uri="{FF2B5EF4-FFF2-40B4-BE49-F238E27FC236}">
                <a16:creationId xmlns:a16="http://schemas.microsoft.com/office/drawing/2014/main" id="{04A6C861-49C2-7548-08A3-2BE4A7E93F8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5704" name="Group 145">
          <a:extLst>
            <a:ext uri="{FF2B5EF4-FFF2-40B4-BE49-F238E27FC236}">
              <a16:creationId xmlns:a16="http://schemas.microsoft.com/office/drawing/2014/main" id="{522C7B72-01BE-36E6-D475-604EFF5058BB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5754" name="Oval 146">
            <a:extLst>
              <a:ext uri="{FF2B5EF4-FFF2-40B4-BE49-F238E27FC236}">
                <a16:creationId xmlns:a16="http://schemas.microsoft.com/office/drawing/2014/main" id="{97612D66-754A-96B5-B73D-A7FF5FC808D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5" name="Line 147">
            <a:extLst>
              <a:ext uri="{FF2B5EF4-FFF2-40B4-BE49-F238E27FC236}">
                <a16:creationId xmlns:a16="http://schemas.microsoft.com/office/drawing/2014/main" id="{F5106427-07CB-2B91-BDE5-13F4C3EE0D6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F9C79A89-F3FF-3974-079E-8176E10EFD87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5706" name="Line 149">
          <a:extLst>
            <a:ext uri="{FF2B5EF4-FFF2-40B4-BE49-F238E27FC236}">
              <a16:creationId xmlns:a16="http://schemas.microsoft.com/office/drawing/2014/main" id="{C1BC994B-3AE2-84AD-2EB3-5230FF3ADD67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5707" name="Line 150">
          <a:extLst>
            <a:ext uri="{FF2B5EF4-FFF2-40B4-BE49-F238E27FC236}">
              <a16:creationId xmlns:a16="http://schemas.microsoft.com/office/drawing/2014/main" id="{74CF9A1B-CC22-25E0-AF7D-4EEA67A4964F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2D181DCB-E0C8-AC55-EAC4-502F73FF461A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5709" name="Line 153">
          <a:extLst>
            <a:ext uri="{FF2B5EF4-FFF2-40B4-BE49-F238E27FC236}">
              <a16:creationId xmlns:a16="http://schemas.microsoft.com/office/drawing/2014/main" id="{29B30A8B-3705-20F0-E710-8754103A00F7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5710" name="Line 154">
          <a:extLst>
            <a:ext uri="{FF2B5EF4-FFF2-40B4-BE49-F238E27FC236}">
              <a16:creationId xmlns:a16="http://schemas.microsoft.com/office/drawing/2014/main" id="{CEA7BAAF-F409-CF88-BA3C-6B06AE25FA7E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5711" name="Freeform 155">
          <a:extLst>
            <a:ext uri="{FF2B5EF4-FFF2-40B4-BE49-F238E27FC236}">
              <a16:creationId xmlns:a16="http://schemas.microsoft.com/office/drawing/2014/main" id="{7C290F99-982A-518E-DA29-2BE2F4FE98B2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5712" name="Line 156">
          <a:extLst>
            <a:ext uri="{FF2B5EF4-FFF2-40B4-BE49-F238E27FC236}">
              <a16:creationId xmlns:a16="http://schemas.microsoft.com/office/drawing/2014/main" id="{83862333-B000-FBB3-A7BB-75B3E0E4DF5E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5713" name="Line 157">
          <a:extLst>
            <a:ext uri="{FF2B5EF4-FFF2-40B4-BE49-F238E27FC236}">
              <a16:creationId xmlns:a16="http://schemas.microsoft.com/office/drawing/2014/main" id="{255AA182-F2E6-2B52-22C4-C8FE8B935F07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5714" name="Line 158">
          <a:extLst>
            <a:ext uri="{FF2B5EF4-FFF2-40B4-BE49-F238E27FC236}">
              <a16:creationId xmlns:a16="http://schemas.microsoft.com/office/drawing/2014/main" id="{AD203770-A562-84C2-CA70-91D489CBCF8D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5715" name="Line 160">
          <a:extLst>
            <a:ext uri="{FF2B5EF4-FFF2-40B4-BE49-F238E27FC236}">
              <a16:creationId xmlns:a16="http://schemas.microsoft.com/office/drawing/2014/main" id="{5B79FB8D-9F9C-8EE5-7809-98B90B7BE173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5716" name="Line 161">
          <a:extLst>
            <a:ext uri="{FF2B5EF4-FFF2-40B4-BE49-F238E27FC236}">
              <a16:creationId xmlns:a16="http://schemas.microsoft.com/office/drawing/2014/main" id="{A71D81B1-EC77-155C-888B-7723F3E0954C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5717" name="Line 162">
          <a:extLst>
            <a:ext uri="{FF2B5EF4-FFF2-40B4-BE49-F238E27FC236}">
              <a16:creationId xmlns:a16="http://schemas.microsoft.com/office/drawing/2014/main" id="{BCB355C2-DCFE-D653-B0B6-5425A58B762D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5718" name="Line 163">
          <a:extLst>
            <a:ext uri="{FF2B5EF4-FFF2-40B4-BE49-F238E27FC236}">
              <a16:creationId xmlns:a16="http://schemas.microsoft.com/office/drawing/2014/main" id="{D75009B2-5605-8114-7FB3-530F0E3473C2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5719" name="Line 164">
          <a:extLst>
            <a:ext uri="{FF2B5EF4-FFF2-40B4-BE49-F238E27FC236}">
              <a16:creationId xmlns:a16="http://schemas.microsoft.com/office/drawing/2014/main" id="{4A78310D-DAB3-9425-CEA5-8CDBCDCABEC0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5720" name="Line 165">
          <a:extLst>
            <a:ext uri="{FF2B5EF4-FFF2-40B4-BE49-F238E27FC236}">
              <a16:creationId xmlns:a16="http://schemas.microsoft.com/office/drawing/2014/main" id="{89BCAF18-CDE6-4010-647F-D2E9ACB91EAA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9CD2E0FC-097B-C0FB-15E6-6E03A322DD81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3F41D20C-2FD0-FFB5-BE81-8161FB237628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5723" name="Line 2509">
          <a:extLst>
            <a:ext uri="{FF2B5EF4-FFF2-40B4-BE49-F238E27FC236}">
              <a16:creationId xmlns:a16="http://schemas.microsoft.com/office/drawing/2014/main" id="{C6F65072-80DB-5574-4413-92A09E0E22E4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4435544D-37B8-DF21-CBC6-377D755AD4A3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F12D7731-EA4F-5860-AF4B-632A27ED5685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5726" name="Group 183">
          <a:extLst>
            <a:ext uri="{FF2B5EF4-FFF2-40B4-BE49-F238E27FC236}">
              <a16:creationId xmlns:a16="http://schemas.microsoft.com/office/drawing/2014/main" id="{6EF32C8E-1212-4EBB-A7E2-33421ACCE5C3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A3B3F9F9-54FA-FD98-C33B-69A3C9CB2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5746" name="Line 2507">
            <a:extLst>
              <a:ext uri="{FF2B5EF4-FFF2-40B4-BE49-F238E27FC236}">
                <a16:creationId xmlns:a16="http://schemas.microsoft.com/office/drawing/2014/main" id="{0E48C5AF-4D82-BF13-1808-39EE7B3C0921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87DE65F5-8049-F9E6-E088-5F02DE6EB330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5AF94F73-78F2-52AA-2424-FCDFD89BF9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A184D64B-D6DC-C011-569D-C5CDFE8C6A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1D6D8C7E-FB4A-898E-3FDA-F992D7CF07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0A3DDD5-DB76-B43F-DEE3-00A23D841E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5752" name="Line 2515">
            <a:extLst>
              <a:ext uri="{FF2B5EF4-FFF2-40B4-BE49-F238E27FC236}">
                <a16:creationId xmlns:a16="http://schemas.microsoft.com/office/drawing/2014/main" id="{88DFF3E0-A2EE-4533-6833-A9B130A5CED0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E7A73AB6-B99A-2A4B-D2FE-D3B5D32718E8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B6168165-3570-7A44-E32D-8DC22C1EDDDA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9321FAA0-91E2-B798-83CE-048D0A837D22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E9E301AD-5F6C-1559-B29B-CEAF2D01ACDC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78BED7D3-C0F4-4080-4392-32A767AEA2E2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C049F943-CC96-9D0E-4DC1-B6FF6B3DD34F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7F4E82F1-04EF-C08E-D0CB-1B0F0771B546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5733" name="Line 2515">
          <a:extLst>
            <a:ext uri="{FF2B5EF4-FFF2-40B4-BE49-F238E27FC236}">
              <a16:creationId xmlns:a16="http://schemas.microsoft.com/office/drawing/2014/main" id="{7478D53D-7F7A-D684-23C7-0EE4E6C01356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F76D1809-832A-8C82-75C2-28FC120B070A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DF36306F-FC57-6412-3B1D-34D7C635AD6D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0E9F01EB-ADCA-E4F5-71D3-243F7A299FF9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2D8A3450-F6FB-15F8-F416-9FF0898FD3E5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AE3D019D-EF71-C637-4420-8DB3D2362B37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723F3044-A674-5135-2102-2AD2ED45E4F1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EC15841B-E2A9-3542-7D54-CBB38BC01451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CF56A089-D6AB-B9F1-8487-B4E83B708079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07E50EBC-4965-FEC4-6065-DCDCFA764E7A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CC756FF6-7704-E761-B398-9FC6C0F63BCA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DB627DBE-04A6-BED8-4244-65153CDA8F42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Water%20Consumption%20Prop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6721%2007%2006%20TRP%20Met%20Acc%202008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Process%20Data\mass%20balances\Condensed%20mass%20balance%20(30%20June%200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Detailed%20water%20balance%20for%20TRP%20-%20johannes-%20whole%20mi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2008-10%20Met%20Account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8-12%20Met%20Accoun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8-12%20Conc%20dispatche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1%20Met%20Account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1%20Conc%20dispatch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2%20Met%20Account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6721%2007%2006%20Met%20Prod%20inputs%202009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PORTAL%20REPORTS%2022%20Feb%2010%20To%2028%20Feb%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NORTH%20WATER\NORTH%20WATER%20CONTROL\WATER%20Contr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7%20Met%20Accoun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Daily_OPS_Report%20(22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NORTH%20WATER\NORTH%20WATER%20CONTROL\WATER%20Control_M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lesibas\Local%20Settings\Temporary%20Internet%20Files\Content.Outlook\6CRN3RY3\Daily_OPS_Report%20(25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Process%20Data\monthend\monthend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lesibas\Local%20Settings\Temporary%20Internet%20Files\Content.Outlook\6CRN3RY3\Daily_OPS_Report%20(3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6">
          <cell r="C6">
            <v>18839</v>
          </cell>
          <cell r="E6">
            <v>11763</v>
          </cell>
        </row>
        <row r="7">
          <cell r="C7">
            <v>13689</v>
          </cell>
          <cell r="E7">
            <v>15000</v>
          </cell>
        </row>
        <row r="8">
          <cell r="C8">
            <v>14000</v>
          </cell>
          <cell r="E8">
            <v>1278</v>
          </cell>
        </row>
        <row r="9">
          <cell r="C9">
            <v>5261</v>
          </cell>
          <cell r="E9">
            <v>1740</v>
          </cell>
        </row>
        <row r="10">
          <cell r="C10">
            <v>4217</v>
          </cell>
          <cell r="E10">
            <v>0</v>
          </cell>
        </row>
        <row r="11">
          <cell r="C11">
            <v>3309</v>
          </cell>
          <cell r="E11">
            <v>1714</v>
          </cell>
        </row>
        <row r="12">
          <cell r="C12">
            <v>65000</v>
          </cell>
          <cell r="E12">
            <v>35500</v>
          </cell>
        </row>
        <row r="13">
          <cell r="C13">
            <v>105499</v>
          </cell>
          <cell r="E13">
            <v>125022</v>
          </cell>
        </row>
        <row r="14">
          <cell r="C14">
            <v>82198</v>
          </cell>
          <cell r="E14">
            <v>92128</v>
          </cell>
        </row>
        <row r="15">
          <cell r="C15">
            <v>115690</v>
          </cell>
          <cell r="E15">
            <v>72817</v>
          </cell>
        </row>
        <row r="16">
          <cell r="C16">
            <v>64515</v>
          </cell>
          <cell r="E16">
            <v>40186</v>
          </cell>
        </row>
        <row r="17">
          <cell r="C17">
            <v>33406</v>
          </cell>
          <cell r="E17">
            <v>12569</v>
          </cell>
        </row>
        <row r="18">
          <cell r="C18">
            <v>80624</v>
          </cell>
          <cell r="E18">
            <v>17209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Inputs"/>
      <sheetName val="Assays"/>
      <sheetName val="FLOTATION  "/>
      <sheetName val="Head grade"/>
      <sheetName val="Running time"/>
      <sheetName val="Gradings"/>
      <sheetName val="CRUSHING"/>
      <sheetName val="MINING"/>
      <sheetName val="MILLING"/>
      <sheetName val="Prod Summary"/>
      <sheetName val="Metal accounting summary"/>
      <sheetName val="Access_Link"/>
      <sheetName val="WATER"/>
      <sheetName val="SUMMARY"/>
      <sheetName val="Business Plan"/>
      <sheetName val="Week Summary"/>
      <sheetName val="Y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E72">
            <v>183633</v>
          </cell>
        </row>
      </sheetData>
      <sheetData sheetId="9"/>
      <sheetData sheetId="10"/>
      <sheetData sheetId="11"/>
      <sheetData sheetId="12"/>
      <sheetData sheetId="13">
        <row r="52">
          <cell r="E52">
            <v>21</v>
          </cell>
        </row>
        <row r="60">
          <cell r="H60">
            <v>65408</v>
          </cell>
        </row>
        <row r="61">
          <cell r="H61">
            <v>14940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s balance 30 June 08   "/>
    </sheetNames>
    <sheetDataSet>
      <sheetData sheetId="0">
        <row r="27">
          <cell r="F27">
            <v>2814.8937000000005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er Readings"/>
      <sheetName val="Detailed water ret flow Aug"/>
      <sheetName val="Detailed water ret flow July"/>
      <sheetName val="Detailed water ret flow June"/>
      <sheetName val="Detailed water ret flow May 09"/>
      <sheetName val="Detailed water ret flow April"/>
      <sheetName val="Main Decline Boreholes "/>
      <sheetName val="north decline"/>
      <sheetName val="Detailed water ret flow Mar"/>
      <sheetName val="Detailed water ret flow Feb 09"/>
      <sheetName val="Detailed water ret flow Jan 09"/>
      <sheetName val="Detailed water ret flow Dec 08"/>
      <sheetName val="Detailed water ret flow Nov08"/>
      <sheetName val="Detailed water ret flow Oct 08"/>
      <sheetName val="Detailed water ret flow Sept 08"/>
      <sheetName val="Detailed water ret flow Aug 08"/>
      <sheetName val="Detailed water ret flow July 08"/>
      <sheetName val="Detailed water ret flow june 08"/>
      <sheetName val="Detailed water ret flow May08"/>
      <sheetName val="Water balance summary"/>
      <sheetName val="Detailed water ret flow April08"/>
      <sheetName val="Detailed water ret flow March08"/>
      <sheetName val="Detailed water ret flow Feb"/>
      <sheetName val="Detailed water ret flow Jan 08"/>
      <sheetName val="Detailed water ret flow Jan07"/>
      <sheetName val="Detailed water ret flow Feb07"/>
      <sheetName val="Detailed water ret flow Mar07"/>
      <sheetName val="Detailed water ret flow April07"/>
      <sheetName val="Detailed water ret flow May07"/>
      <sheetName val="Detailed water ret flow June07"/>
      <sheetName val="Detailed water ret flow July07"/>
      <sheetName val="Detailed water ret flow August"/>
      <sheetName val="Detailed water ret flow Sept"/>
      <sheetName val="Detailed water ret flow Octo"/>
      <sheetName val="Detailed water ret flow Nov"/>
      <sheetName val="Detailed water ret flow Dec"/>
    </sheetNames>
    <sheetDataSet>
      <sheetData sheetId="0" refreshError="1"/>
      <sheetData sheetId="1" refreshError="1"/>
      <sheetData sheetId="2" refreshError="1"/>
      <sheetData sheetId="3" refreshError="1">
        <row r="97">
          <cell r="M97">
            <v>4224</v>
          </cell>
        </row>
        <row r="98">
          <cell r="C98">
            <v>87842</v>
          </cell>
          <cell r="M98">
            <v>17.899999999999999</v>
          </cell>
        </row>
        <row r="99">
          <cell r="C99">
            <v>16958</v>
          </cell>
        </row>
        <row r="100">
          <cell r="C100">
            <v>1770</v>
          </cell>
          <cell r="M100">
            <v>4443</v>
          </cell>
        </row>
        <row r="111">
          <cell r="M111">
            <v>236124</v>
          </cell>
        </row>
      </sheetData>
      <sheetData sheetId="4" refreshError="1"/>
      <sheetData sheetId="5" refreshError="1">
        <row r="50">
          <cell r="Y50">
            <v>180767</v>
          </cell>
        </row>
      </sheetData>
      <sheetData sheetId="6" refreshError="1">
        <row r="38">
          <cell r="C38">
            <v>47835</v>
          </cell>
          <cell r="E38">
            <v>28978</v>
          </cell>
        </row>
        <row r="42">
          <cell r="C42">
            <v>48625</v>
          </cell>
          <cell r="E42">
            <v>30456</v>
          </cell>
        </row>
      </sheetData>
      <sheetData sheetId="7" refreshError="1">
        <row r="11">
          <cell r="F11">
            <v>1461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8">
          <cell r="C98">
            <v>85503</v>
          </cell>
        </row>
        <row r="99">
          <cell r="C99">
            <v>14313</v>
          </cell>
        </row>
      </sheetData>
      <sheetData sheetId="14" refreshError="1">
        <row r="97">
          <cell r="M97">
            <v>4928</v>
          </cell>
        </row>
        <row r="98">
          <cell r="C98">
            <v>94851</v>
          </cell>
          <cell r="M98">
            <v>18</v>
          </cell>
        </row>
        <row r="99">
          <cell r="C99">
            <v>23092</v>
          </cell>
        </row>
        <row r="100">
          <cell r="C100">
            <v>1452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water ret flow Jun 09"/>
      <sheetName val="Detailed water ret flow Jul 09"/>
      <sheetName val="Detailed water ret flow Au 09"/>
      <sheetName val="Detailed water ret flow Sep 09"/>
      <sheetName val="Detailed water ret flow Oct 09"/>
      <sheetName val="Detailed water ret flow Nov 09"/>
      <sheetName val="Detailed water ret flow Dec 09"/>
      <sheetName val="Detailed water ret flow Jan 10"/>
      <sheetName val="Detailed water ret flow Feb"/>
      <sheetName val="Detailed water ret flow Dec (2"/>
      <sheetName val="Detailed water ret flow March"/>
      <sheetName val="Detailed water ret flow April"/>
      <sheetName val="Detailed water ret flow May"/>
      <sheetName val="Detailed water ret flow june"/>
      <sheetName val="Detailed water ret flow july"/>
      <sheetName val="Detailed water ret flow Aug"/>
      <sheetName val="Detailed water ret flow Sept"/>
      <sheetName val="Detailed water ret flow Oct"/>
      <sheetName val="Detailed water ret flow Nov 12"/>
      <sheetName val="Detailed water ret flow Dec 12"/>
      <sheetName val="Detailed water ret flow Dec"/>
      <sheetName val="Detailed water ret flow Jan"/>
      <sheetName val="Detailed water ret flow Jan 13"/>
      <sheetName val="Detailed water ret flow Feb 13"/>
      <sheetName val="Detailed water ref flow Mar 13"/>
      <sheetName val="Detailed water ret flow Apr 13"/>
      <sheetName val="Detailed water ret flow May 13"/>
      <sheetName val="Detailed water ret flow June 13"/>
      <sheetName val="Detailed water ret flow Jul 13"/>
      <sheetName val="Detailed water ret flow Aug 13"/>
      <sheetName val="Detailed water ret flow Sep 13"/>
      <sheetName val="Detailed water ret flow Oct13"/>
      <sheetName val="Detailed ret flow Nov-13"/>
      <sheetName val="Detailed ret flow Dec-13"/>
      <sheetName val="Detailed ret flow Jan-14"/>
      <sheetName val="Consumptions"/>
      <sheetName val="Gwater Utilization"/>
      <sheetName val="WUL Dewatering Allocation"/>
      <sheetName val="Meter Readings"/>
      <sheetName val="Detailed ret flow March-14"/>
      <sheetName val="Nov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 refreshError="1"/>
      <sheetData sheetId="1" refreshError="1"/>
      <sheetData sheetId="2" refreshError="1"/>
      <sheetData sheetId="3"/>
      <sheetData sheetId="4" refreshError="1">
        <row r="60">
          <cell r="H60">
            <v>94212</v>
          </cell>
        </row>
        <row r="61">
          <cell r="H61">
            <v>27525</v>
          </cell>
        </row>
      </sheetData>
      <sheetData sheetId="5" refreshError="1"/>
      <sheetData sheetId="6" refreshError="1"/>
      <sheetData sheetId="7" refreshError="1">
        <row r="72">
          <cell r="E72">
            <v>244139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 Reconciliation link"/>
      <sheetName val="Metal Reconciliation 22 -31"/>
      <sheetName val="Metal Reconciliation"/>
    </sheetNames>
    <sheetDataSet>
      <sheetData sheetId="0"/>
      <sheetData sheetId="1"/>
      <sheetData sheetId="2">
        <row r="316">
          <cell r="M316">
            <v>4378.0999999999985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/>
      <sheetData sheetId="1"/>
      <sheetData sheetId="2"/>
      <sheetData sheetId="3"/>
      <sheetData sheetId="4" refreshError="1">
        <row r="60">
          <cell r="H60">
            <v>89553</v>
          </cell>
        </row>
        <row r="61">
          <cell r="H61">
            <v>20782</v>
          </cell>
        </row>
      </sheetData>
      <sheetData sheetId="5"/>
      <sheetData sheetId="6"/>
      <sheetData sheetId="7"/>
      <sheetData sheetId="8" refreshError="1">
        <row r="10">
          <cell r="BE10">
            <v>165524</v>
          </cell>
        </row>
        <row r="72">
          <cell r="BE72">
            <v>178585</v>
          </cell>
        </row>
        <row r="74">
          <cell r="K74">
            <v>238943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 Reconciliation link"/>
      <sheetName val="Metal Reconciliation AB"/>
      <sheetName val="Metal Reconciliation"/>
    </sheetNames>
    <sheetDataSet>
      <sheetData sheetId="0"/>
      <sheetData sheetId="1"/>
      <sheetData sheetId="2">
        <row r="316">
          <cell r="C316">
            <v>4710.5099999999984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/>
      <sheetData sheetId="1"/>
      <sheetData sheetId="2"/>
      <sheetData sheetId="3">
        <row r="39">
          <cell r="C39">
            <v>199558.1448000001</v>
          </cell>
          <cell r="AL39">
            <v>3013.6746250000006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s Pull - recleaners sept"/>
      <sheetName val="Mass Pull - recleaners aug"/>
      <sheetName val="Running time"/>
      <sheetName val="SUMMARY"/>
      <sheetName val="Mass Pull - recleaners"/>
      <sheetName val="Mass Pull - roughers"/>
      <sheetName val="Mill down time"/>
      <sheetName val="Crusher down time"/>
      <sheetName val="Plant Inputs"/>
      <sheetName val="Conc Trucks"/>
      <sheetName val="calculation"/>
      <sheetName val="PLAN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X11">
            <v>1.74</v>
          </cell>
          <cell r="BD11">
            <v>11603</v>
          </cell>
          <cell r="BE11">
            <v>22221</v>
          </cell>
          <cell r="BF11">
            <v>2587197</v>
          </cell>
          <cell r="BG11">
            <v>1373659</v>
          </cell>
          <cell r="BJ11">
            <v>232248</v>
          </cell>
        </row>
        <row r="12">
          <cell r="AX12">
            <v>1.7</v>
          </cell>
        </row>
        <row r="13">
          <cell r="AX13">
            <v>1.65</v>
          </cell>
        </row>
        <row r="14">
          <cell r="AX14">
            <v>1.67</v>
          </cell>
        </row>
        <row r="15">
          <cell r="AX15">
            <v>1.57</v>
          </cell>
        </row>
        <row r="16">
          <cell r="AX16">
            <v>1.64</v>
          </cell>
        </row>
        <row r="17">
          <cell r="AX17">
            <v>1.62</v>
          </cell>
        </row>
        <row r="18">
          <cell r="AX18">
            <v>1.63</v>
          </cell>
        </row>
        <row r="19">
          <cell r="AX19">
            <v>1.8</v>
          </cell>
        </row>
        <row r="20">
          <cell r="AX20">
            <v>1.66</v>
          </cell>
        </row>
        <row r="21">
          <cell r="AX21">
            <v>1.47</v>
          </cell>
        </row>
        <row r="22">
          <cell r="AX22">
            <v>1.66</v>
          </cell>
        </row>
        <row r="23">
          <cell r="AX23">
            <v>1.63</v>
          </cell>
        </row>
        <row r="26">
          <cell r="AX26">
            <v>1.54</v>
          </cell>
        </row>
        <row r="27">
          <cell r="AX27">
            <v>1.52</v>
          </cell>
        </row>
        <row r="28">
          <cell r="AX28">
            <v>1.58</v>
          </cell>
        </row>
        <row r="29">
          <cell r="AX29">
            <v>1.63</v>
          </cell>
        </row>
        <row r="30">
          <cell r="AX30">
            <v>1.65</v>
          </cell>
        </row>
        <row r="31">
          <cell r="AX31">
            <v>1.68</v>
          </cell>
        </row>
        <row r="32">
          <cell r="AX32">
            <v>1.68</v>
          </cell>
        </row>
        <row r="33">
          <cell r="AX33">
            <v>1.68</v>
          </cell>
        </row>
        <row r="34">
          <cell r="AX34">
            <v>1.69</v>
          </cell>
        </row>
        <row r="35">
          <cell r="AX35">
            <v>1.67</v>
          </cell>
        </row>
        <row r="36">
          <cell r="AX36">
            <v>1.66</v>
          </cell>
        </row>
        <row r="37">
          <cell r="AX37">
            <v>1.64</v>
          </cell>
        </row>
        <row r="38">
          <cell r="AX38">
            <v>1.69</v>
          </cell>
        </row>
        <row r="39">
          <cell r="AX39">
            <v>1.72</v>
          </cell>
        </row>
        <row r="40">
          <cell r="AX40">
            <v>1.76</v>
          </cell>
        </row>
        <row r="41">
          <cell r="AX41">
            <v>1.67</v>
          </cell>
        </row>
        <row r="42">
          <cell r="AX42">
            <v>1.65</v>
          </cell>
        </row>
        <row r="43">
          <cell r="AX43">
            <v>1.69</v>
          </cell>
        </row>
        <row r="44">
          <cell r="AX44">
            <v>1.74</v>
          </cell>
        </row>
        <row r="45">
          <cell r="AX45">
            <v>1.76</v>
          </cell>
        </row>
        <row r="46">
          <cell r="AX46">
            <v>1.74</v>
          </cell>
        </row>
        <row r="47">
          <cell r="AX47">
            <v>1.74</v>
          </cell>
        </row>
        <row r="48">
          <cell r="AX48">
            <v>1.77</v>
          </cell>
        </row>
        <row r="49">
          <cell r="AX49">
            <v>1.76</v>
          </cell>
        </row>
        <row r="50">
          <cell r="AX50">
            <v>1.75</v>
          </cell>
        </row>
        <row r="51">
          <cell r="AX51">
            <v>1.78</v>
          </cell>
        </row>
        <row r="52">
          <cell r="AX52">
            <v>1.78</v>
          </cell>
        </row>
        <row r="53">
          <cell r="AX53">
            <v>1.73</v>
          </cell>
        </row>
        <row r="54">
          <cell r="AX54">
            <v>1.71</v>
          </cell>
        </row>
        <row r="55">
          <cell r="AX55">
            <v>1.72</v>
          </cell>
        </row>
        <row r="56">
          <cell r="AX56">
            <v>1.62</v>
          </cell>
        </row>
        <row r="57">
          <cell r="AX57">
            <v>1.67</v>
          </cell>
        </row>
        <row r="58">
          <cell r="AX58">
            <v>1.7</v>
          </cell>
        </row>
        <row r="59">
          <cell r="AX59">
            <v>1.7</v>
          </cell>
        </row>
        <row r="60">
          <cell r="AX60">
            <v>1.71</v>
          </cell>
        </row>
        <row r="61">
          <cell r="AX61">
            <v>1.62</v>
          </cell>
        </row>
        <row r="62">
          <cell r="AX62">
            <v>1.78</v>
          </cell>
        </row>
        <row r="63">
          <cell r="AX63">
            <v>1.73</v>
          </cell>
        </row>
        <row r="64">
          <cell r="AX64">
            <v>1.66</v>
          </cell>
        </row>
        <row r="65">
          <cell r="AX65">
            <v>1.64</v>
          </cell>
        </row>
        <row r="66">
          <cell r="AX66">
            <v>1.64</v>
          </cell>
        </row>
        <row r="67">
          <cell r="AX67">
            <v>1.66</v>
          </cell>
        </row>
        <row r="68">
          <cell r="AX68">
            <v>1.69</v>
          </cell>
        </row>
        <row r="69">
          <cell r="AX69">
            <v>1.68</v>
          </cell>
        </row>
        <row r="70">
          <cell r="AX70">
            <v>1.74</v>
          </cell>
        </row>
        <row r="71">
          <cell r="AX71">
            <v>1.65</v>
          </cell>
        </row>
        <row r="72">
          <cell r="AX72">
            <v>1.69</v>
          </cell>
          <cell r="BD72">
            <v>13430</v>
          </cell>
          <cell r="BE72">
            <v>22263</v>
          </cell>
          <cell r="BF72">
            <v>2670797</v>
          </cell>
          <cell r="BG72">
            <v>1396279</v>
          </cell>
          <cell r="BJ72">
            <v>234952</v>
          </cell>
        </row>
        <row r="73">
          <cell r="AX73">
            <v>1.67</v>
          </cell>
        </row>
        <row r="74">
          <cell r="AX74">
            <v>1.67</v>
          </cell>
        </row>
        <row r="75">
          <cell r="AX75">
            <v>1.68</v>
          </cell>
        </row>
        <row r="76">
          <cell r="AX76">
            <v>1.68</v>
          </cell>
        </row>
        <row r="77">
          <cell r="AX77">
            <v>1.81</v>
          </cell>
        </row>
        <row r="78">
          <cell r="AX78">
            <v>1.74</v>
          </cell>
        </row>
        <row r="79">
          <cell r="AX79">
            <v>1.76</v>
          </cell>
        </row>
        <row r="80">
          <cell r="AX80">
            <v>1.71</v>
          </cell>
        </row>
        <row r="81">
          <cell r="AX81">
            <v>1.7</v>
          </cell>
        </row>
        <row r="82">
          <cell r="AX82">
            <v>1.68</v>
          </cell>
        </row>
        <row r="83">
          <cell r="AX83">
            <v>1.71</v>
          </cell>
        </row>
        <row r="84">
          <cell r="AX84">
            <v>1.82</v>
          </cell>
        </row>
        <row r="85">
          <cell r="AX85">
            <v>1.8</v>
          </cell>
        </row>
        <row r="86">
          <cell r="AX86">
            <v>1.78</v>
          </cell>
        </row>
        <row r="87">
          <cell r="AX87">
            <v>1.68</v>
          </cell>
        </row>
        <row r="88">
          <cell r="AX88">
            <v>1.7</v>
          </cell>
        </row>
        <row r="89">
          <cell r="AX89">
            <v>1.73</v>
          </cell>
        </row>
        <row r="90">
          <cell r="AX90">
            <v>1.77</v>
          </cell>
        </row>
        <row r="91">
          <cell r="AX91">
            <v>1.73</v>
          </cell>
        </row>
        <row r="92">
          <cell r="AX92">
            <v>1.78</v>
          </cell>
        </row>
        <row r="93">
          <cell r="AX93">
            <v>1.68</v>
          </cell>
        </row>
        <row r="94">
          <cell r="AX94">
            <v>1.63</v>
          </cell>
        </row>
        <row r="95">
          <cell r="AX95">
            <v>1.66</v>
          </cell>
        </row>
        <row r="96">
          <cell r="AX96">
            <v>1.67</v>
          </cell>
        </row>
        <row r="97">
          <cell r="AX97">
            <v>1.7</v>
          </cell>
        </row>
        <row r="98">
          <cell r="AX98">
            <v>1.71</v>
          </cell>
        </row>
        <row r="99">
          <cell r="AX99">
            <v>1.7</v>
          </cell>
        </row>
        <row r="100">
          <cell r="AX100">
            <v>1.68</v>
          </cell>
        </row>
        <row r="101">
          <cell r="AX101">
            <v>1.66</v>
          </cell>
        </row>
        <row r="102">
          <cell r="AX102">
            <v>1.66</v>
          </cell>
        </row>
        <row r="103">
          <cell r="AX103">
            <v>1.66</v>
          </cell>
        </row>
        <row r="104">
          <cell r="AX104">
            <v>1.66</v>
          </cell>
        </row>
        <row r="105">
          <cell r="AX105">
            <v>1.26</v>
          </cell>
        </row>
        <row r="109">
          <cell r="AX109">
            <v>1.56</v>
          </cell>
        </row>
        <row r="110">
          <cell r="AX110">
            <v>1.6</v>
          </cell>
        </row>
        <row r="111">
          <cell r="AX111">
            <v>1.56</v>
          </cell>
        </row>
        <row r="112">
          <cell r="AX112">
            <v>1.68</v>
          </cell>
        </row>
        <row r="113">
          <cell r="AX113">
            <v>1.63</v>
          </cell>
        </row>
        <row r="114">
          <cell r="AX114">
            <v>1.6</v>
          </cell>
        </row>
        <row r="115">
          <cell r="AX115">
            <v>1.66</v>
          </cell>
        </row>
        <row r="116">
          <cell r="AX116">
            <v>1.67</v>
          </cell>
        </row>
        <row r="117">
          <cell r="AX117">
            <v>1.66</v>
          </cell>
        </row>
        <row r="118">
          <cell r="AX118">
            <v>1.69</v>
          </cell>
        </row>
        <row r="119">
          <cell r="AX119">
            <v>1.69</v>
          </cell>
        </row>
        <row r="120">
          <cell r="AX120">
            <v>1.72</v>
          </cell>
        </row>
        <row r="121">
          <cell r="AX121">
            <v>1.65</v>
          </cell>
        </row>
        <row r="122">
          <cell r="AX122">
            <v>1.7</v>
          </cell>
        </row>
        <row r="123">
          <cell r="AX123">
            <v>1.67</v>
          </cell>
        </row>
        <row r="124">
          <cell r="AX124">
            <v>1.69</v>
          </cell>
        </row>
        <row r="125">
          <cell r="AX125">
            <v>1.66</v>
          </cell>
        </row>
        <row r="126">
          <cell r="AX126">
            <v>1.68</v>
          </cell>
        </row>
        <row r="127">
          <cell r="AX127">
            <v>1.67</v>
          </cell>
        </row>
        <row r="128">
          <cell r="AX128">
            <v>1.64</v>
          </cell>
        </row>
        <row r="129">
          <cell r="AX129">
            <v>1.69</v>
          </cell>
        </row>
        <row r="130">
          <cell r="AX130">
            <v>1.72</v>
          </cell>
        </row>
        <row r="131">
          <cell r="AX131">
            <v>1.69</v>
          </cell>
        </row>
        <row r="132">
          <cell r="AX132">
            <v>1.67</v>
          </cell>
        </row>
        <row r="133">
          <cell r="AX133">
            <v>1.66</v>
          </cell>
        </row>
        <row r="134">
          <cell r="AX134">
            <v>1.6</v>
          </cell>
          <cell r="BD134">
            <v>14630</v>
          </cell>
          <cell r="BE134">
            <v>23095</v>
          </cell>
          <cell r="BF134">
            <v>2729544</v>
          </cell>
          <cell r="BG134">
            <v>1402804</v>
          </cell>
          <cell r="BJ134">
            <v>235993</v>
          </cell>
        </row>
        <row r="135">
          <cell r="AX135">
            <v>1.64</v>
          </cell>
        </row>
        <row r="136">
          <cell r="AX136">
            <v>1.65</v>
          </cell>
        </row>
        <row r="137">
          <cell r="AX137">
            <v>1.7</v>
          </cell>
        </row>
        <row r="138">
          <cell r="AX138">
            <v>1.69</v>
          </cell>
        </row>
        <row r="139">
          <cell r="AX139">
            <v>1.71</v>
          </cell>
        </row>
        <row r="140">
          <cell r="AX140">
            <v>1.68</v>
          </cell>
        </row>
        <row r="141">
          <cell r="AX141">
            <v>1.67</v>
          </cell>
        </row>
        <row r="142">
          <cell r="AX142">
            <v>1.67</v>
          </cell>
        </row>
        <row r="143">
          <cell r="AX143">
            <v>1.67</v>
          </cell>
        </row>
        <row r="144">
          <cell r="AX144">
            <v>1.69</v>
          </cell>
        </row>
        <row r="145">
          <cell r="AX145">
            <v>1.69</v>
          </cell>
        </row>
        <row r="146">
          <cell r="AX146">
            <v>1.67</v>
          </cell>
        </row>
        <row r="147">
          <cell r="AX147">
            <v>1.66</v>
          </cell>
        </row>
        <row r="148">
          <cell r="AX148">
            <v>1.66</v>
          </cell>
        </row>
        <row r="149">
          <cell r="AX149">
            <v>1.67</v>
          </cell>
        </row>
        <row r="150">
          <cell r="AX150">
            <v>1.67</v>
          </cell>
        </row>
        <row r="151">
          <cell r="AX151">
            <v>1.69</v>
          </cell>
        </row>
        <row r="152">
          <cell r="AX152">
            <v>1.41</v>
          </cell>
        </row>
        <row r="153">
          <cell r="AX153">
            <v>1.49</v>
          </cell>
        </row>
        <row r="154">
          <cell r="AX154">
            <v>1.6</v>
          </cell>
        </row>
        <row r="155">
          <cell r="AX155">
            <v>1.64</v>
          </cell>
        </row>
        <row r="156">
          <cell r="AX156">
            <v>1.61</v>
          </cell>
        </row>
        <row r="157">
          <cell r="AX157">
            <v>1.65</v>
          </cell>
        </row>
        <row r="158">
          <cell r="AX158">
            <v>1.65</v>
          </cell>
        </row>
        <row r="159">
          <cell r="AX159">
            <v>1.62</v>
          </cell>
        </row>
        <row r="160">
          <cell r="AX160">
            <v>1.6</v>
          </cell>
        </row>
        <row r="161">
          <cell r="AX161">
            <v>1.62</v>
          </cell>
        </row>
        <row r="162">
          <cell r="AX162">
            <v>1.67</v>
          </cell>
        </row>
        <row r="163">
          <cell r="AX163">
            <v>1.64</v>
          </cell>
        </row>
        <row r="164">
          <cell r="AX164">
            <v>1.66</v>
          </cell>
        </row>
        <row r="165">
          <cell r="AX165">
            <v>1.68</v>
          </cell>
        </row>
        <row r="166">
          <cell r="AX166">
            <v>1.7</v>
          </cell>
        </row>
        <row r="167">
          <cell r="AX167">
            <v>1.66</v>
          </cell>
        </row>
        <row r="168">
          <cell r="AX168">
            <v>1.73</v>
          </cell>
        </row>
        <row r="169">
          <cell r="AX169">
            <v>1.67</v>
          </cell>
        </row>
        <row r="170">
          <cell r="AX170">
            <v>1.71</v>
          </cell>
        </row>
        <row r="171">
          <cell r="AX171">
            <v>1.63</v>
          </cell>
        </row>
        <row r="172">
          <cell r="AX172">
            <v>1.61</v>
          </cell>
        </row>
        <row r="173">
          <cell r="AX173">
            <v>1.64</v>
          </cell>
        </row>
        <row r="174">
          <cell r="AX174">
            <v>1.65</v>
          </cell>
        </row>
        <row r="175">
          <cell r="AX175">
            <v>1.68</v>
          </cell>
        </row>
        <row r="176">
          <cell r="AX176">
            <v>1.7</v>
          </cell>
        </row>
        <row r="177">
          <cell r="AX177">
            <v>1.69</v>
          </cell>
        </row>
        <row r="178">
          <cell r="AX178">
            <v>1.68</v>
          </cell>
        </row>
        <row r="179">
          <cell r="AX179">
            <v>1.65</v>
          </cell>
        </row>
        <row r="180">
          <cell r="AX180">
            <v>1.69</v>
          </cell>
        </row>
        <row r="181">
          <cell r="AX181">
            <v>1.68</v>
          </cell>
        </row>
        <row r="182">
          <cell r="AX182">
            <v>1.76</v>
          </cell>
        </row>
        <row r="183">
          <cell r="AX183">
            <v>1.67</v>
          </cell>
        </row>
        <row r="184">
          <cell r="AX184">
            <v>1.68</v>
          </cell>
        </row>
        <row r="185">
          <cell r="AX185">
            <v>1.66</v>
          </cell>
        </row>
        <row r="186">
          <cell r="AX186">
            <v>1.7</v>
          </cell>
        </row>
        <row r="187">
          <cell r="AX187">
            <v>1.66</v>
          </cell>
        </row>
        <row r="188">
          <cell r="AX188">
            <v>1.67</v>
          </cell>
        </row>
        <row r="189">
          <cell r="AX189">
            <v>1.66</v>
          </cell>
        </row>
        <row r="190">
          <cell r="AX190">
            <v>1.66</v>
          </cell>
        </row>
        <row r="191">
          <cell r="AX191">
            <v>1.66</v>
          </cell>
        </row>
        <row r="192">
          <cell r="AX192">
            <v>1.67</v>
          </cell>
        </row>
        <row r="193">
          <cell r="AX193">
            <v>1.64</v>
          </cell>
        </row>
        <row r="194">
          <cell r="AX194">
            <v>1.7</v>
          </cell>
          <cell r="BD194">
            <v>15971</v>
          </cell>
          <cell r="BE194">
            <v>23729</v>
          </cell>
          <cell r="BF194">
            <v>2807590</v>
          </cell>
          <cell r="BG194">
            <v>1417136</v>
          </cell>
          <cell r="BJ194">
            <v>240632</v>
          </cell>
        </row>
        <row r="195">
          <cell r="AX195">
            <v>1.73</v>
          </cell>
        </row>
        <row r="196">
          <cell r="AX196">
            <v>1.71</v>
          </cell>
        </row>
        <row r="197">
          <cell r="AX197">
            <v>1.68</v>
          </cell>
        </row>
        <row r="198">
          <cell r="AX198">
            <v>1.76</v>
          </cell>
        </row>
        <row r="199">
          <cell r="AX199">
            <v>1.69</v>
          </cell>
        </row>
        <row r="200">
          <cell r="AX200">
            <v>1.72</v>
          </cell>
        </row>
        <row r="201">
          <cell r="AX201">
            <v>1.64</v>
          </cell>
        </row>
        <row r="202">
          <cell r="AX202">
            <v>1.71</v>
          </cell>
        </row>
        <row r="203">
          <cell r="AX203">
            <v>1.71</v>
          </cell>
        </row>
        <row r="204">
          <cell r="AX204">
            <v>1.71</v>
          </cell>
        </row>
        <row r="205">
          <cell r="AX205">
            <v>1.68</v>
          </cell>
        </row>
        <row r="206">
          <cell r="AX206">
            <v>1.66</v>
          </cell>
        </row>
        <row r="208">
          <cell r="AX208">
            <v>1.57</v>
          </cell>
        </row>
        <row r="209">
          <cell r="AX209">
            <v>1.76</v>
          </cell>
        </row>
        <row r="210">
          <cell r="AX210">
            <v>1.72</v>
          </cell>
        </row>
        <row r="211">
          <cell r="AX211">
            <v>1.7</v>
          </cell>
        </row>
        <row r="212">
          <cell r="AX212">
            <v>1.64</v>
          </cell>
        </row>
        <row r="213">
          <cell r="AX213">
            <v>1.72</v>
          </cell>
        </row>
        <row r="214">
          <cell r="AX214">
            <v>1.72</v>
          </cell>
        </row>
        <row r="215">
          <cell r="AX215">
            <v>1.69</v>
          </cell>
        </row>
        <row r="216">
          <cell r="AX216">
            <v>1.67</v>
          </cell>
        </row>
        <row r="217">
          <cell r="AX217">
            <v>1.67</v>
          </cell>
        </row>
        <row r="218">
          <cell r="AX218">
            <v>1.71</v>
          </cell>
        </row>
        <row r="219">
          <cell r="AX219">
            <v>1.69</v>
          </cell>
        </row>
        <row r="220">
          <cell r="AX220">
            <v>1.69</v>
          </cell>
        </row>
        <row r="221">
          <cell r="AX221">
            <v>1.57</v>
          </cell>
        </row>
        <row r="222">
          <cell r="AX222">
            <v>1.72</v>
          </cell>
        </row>
        <row r="223">
          <cell r="AX223">
            <v>1.7</v>
          </cell>
        </row>
        <row r="224">
          <cell r="AX224">
            <v>1.69</v>
          </cell>
        </row>
        <row r="225">
          <cell r="AX225">
            <v>1.7</v>
          </cell>
        </row>
        <row r="226">
          <cell r="AX226">
            <v>1.76</v>
          </cell>
        </row>
        <row r="227">
          <cell r="AX227">
            <v>1.77</v>
          </cell>
        </row>
        <row r="228">
          <cell r="AX228">
            <v>1.69</v>
          </cell>
        </row>
        <row r="229">
          <cell r="AX229">
            <v>1.72</v>
          </cell>
        </row>
        <row r="230">
          <cell r="AX230">
            <v>1.7</v>
          </cell>
        </row>
        <row r="231">
          <cell r="AX231">
            <v>1.72</v>
          </cell>
        </row>
        <row r="232">
          <cell r="AX232">
            <v>1.69</v>
          </cell>
        </row>
        <row r="233">
          <cell r="AX233">
            <v>1.68</v>
          </cell>
        </row>
        <row r="234">
          <cell r="AX234">
            <v>1.63</v>
          </cell>
        </row>
        <row r="235">
          <cell r="AX235">
            <v>1.66</v>
          </cell>
        </row>
        <row r="236">
          <cell r="AX236">
            <v>1.69</v>
          </cell>
        </row>
        <row r="237">
          <cell r="AX237">
            <v>1.7</v>
          </cell>
        </row>
        <row r="238">
          <cell r="AX238">
            <v>1.73</v>
          </cell>
        </row>
        <row r="239">
          <cell r="AX239">
            <v>1.62</v>
          </cell>
        </row>
        <row r="240">
          <cell r="AX240">
            <v>1.28</v>
          </cell>
        </row>
        <row r="241">
          <cell r="AX241">
            <v>1.62</v>
          </cell>
        </row>
        <row r="242">
          <cell r="AX242">
            <v>1.63</v>
          </cell>
        </row>
        <row r="243">
          <cell r="AX243">
            <v>1.7</v>
          </cell>
        </row>
        <row r="244">
          <cell r="AX244">
            <v>1.71</v>
          </cell>
        </row>
        <row r="245">
          <cell r="AX245">
            <v>1.7</v>
          </cell>
        </row>
        <row r="246">
          <cell r="AX246">
            <v>1.66</v>
          </cell>
        </row>
        <row r="247">
          <cell r="AX247">
            <v>1.69</v>
          </cell>
        </row>
        <row r="248">
          <cell r="AX248">
            <v>1.66</v>
          </cell>
        </row>
        <row r="249">
          <cell r="AX249">
            <v>1.63</v>
          </cell>
        </row>
        <row r="250">
          <cell r="AX250">
            <v>1.66</v>
          </cell>
        </row>
        <row r="251">
          <cell r="AX251">
            <v>1.63</v>
          </cell>
        </row>
        <row r="252">
          <cell r="AX252">
            <v>1.63</v>
          </cell>
        </row>
        <row r="253">
          <cell r="AX253">
            <v>1.63</v>
          </cell>
        </row>
        <row r="254">
          <cell r="AX254">
            <v>1.67</v>
          </cell>
        </row>
        <row r="255">
          <cell r="AX255">
            <v>1.69</v>
          </cell>
        </row>
        <row r="256">
          <cell r="AX256">
            <v>1.68</v>
          </cell>
          <cell r="BD256">
            <v>17631</v>
          </cell>
          <cell r="BE256">
            <v>23731</v>
          </cell>
          <cell r="BF256">
            <v>2893079</v>
          </cell>
          <cell r="BG256">
            <v>1467308</v>
          </cell>
          <cell r="BJ256">
            <v>246771</v>
          </cell>
        </row>
        <row r="257">
          <cell r="AX257">
            <v>1.66</v>
          </cell>
        </row>
        <row r="258">
          <cell r="AX258">
            <v>1.67</v>
          </cell>
        </row>
        <row r="259">
          <cell r="AX259">
            <v>1.63</v>
          </cell>
        </row>
        <row r="260">
          <cell r="AX260">
            <v>1.65</v>
          </cell>
        </row>
        <row r="261">
          <cell r="AX261">
            <v>1.72</v>
          </cell>
        </row>
        <row r="262">
          <cell r="AX262">
            <v>1.66</v>
          </cell>
        </row>
        <row r="263">
          <cell r="AX263">
            <v>1.56</v>
          </cell>
        </row>
        <row r="264">
          <cell r="AX264">
            <v>1.74</v>
          </cell>
        </row>
        <row r="265">
          <cell r="AX265">
            <v>1.71</v>
          </cell>
        </row>
        <row r="266">
          <cell r="AX266">
            <v>1.69</v>
          </cell>
        </row>
        <row r="267">
          <cell r="AX267">
            <v>1.62</v>
          </cell>
        </row>
        <row r="268">
          <cell r="AX268">
            <v>1.68</v>
          </cell>
        </row>
        <row r="269">
          <cell r="AX269">
            <v>1.66</v>
          </cell>
        </row>
        <row r="270">
          <cell r="AX270">
            <v>1.71</v>
          </cell>
        </row>
        <row r="271">
          <cell r="AX271">
            <v>1.72</v>
          </cell>
        </row>
        <row r="272">
          <cell r="AX272">
            <v>1.69</v>
          </cell>
        </row>
        <row r="273">
          <cell r="AX273">
            <v>1.7</v>
          </cell>
        </row>
        <row r="274">
          <cell r="AX274">
            <v>1.67</v>
          </cell>
        </row>
        <row r="275">
          <cell r="AX275">
            <v>1.65</v>
          </cell>
        </row>
        <row r="276">
          <cell r="AX276">
            <v>1.61</v>
          </cell>
        </row>
        <row r="277">
          <cell r="AX277">
            <v>1.7</v>
          </cell>
        </row>
        <row r="278">
          <cell r="AX278">
            <v>1.7</v>
          </cell>
        </row>
        <row r="279">
          <cell r="AX279">
            <v>1.71</v>
          </cell>
        </row>
        <row r="280">
          <cell r="AX280">
            <v>1.71</v>
          </cell>
        </row>
        <row r="281">
          <cell r="AX281">
            <v>1.71</v>
          </cell>
        </row>
        <row r="282">
          <cell r="AX282">
            <v>1.75</v>
          </cell>
        </row>
        <row r="283">
          <cell r="AX283">
            <v>1.63</v>
          </cell>
        </row>
        <row r="284">
          <cell r="AX284">
            <v>1.54</v>
          </cell>
        </row>
        <row r="285">
          <cell r="AX285">
            <v>1.47</v>
          </cell>
        </row>
        <row r="286">
          <cell r="AX286">
            <v>1.6</v>
          </cell>
        </row>
        <row r="287">
          <cell r="AX287">
            <v>1.65</v>
          </cell>
        </row>
        <row r="288">
          <cell r="AX288">
            <v>1.63</v>
          </cell>
        </row>
        <row r="289">
          <cell r="AX289">
            <v>1.67</v>
          </cell>
        </row>
        <row r="290">
          <cell r="AX290">
            <v>1.73</v>
          </cell>
        </row>
        <row r="291">
          <cell r="AX291">
            <v>1.6</v>
          </cell>
        </row>
        <row r="292">
          <cell r="AX292">
            <v>1.66</v>
          </cell>
        </row>
        <row r="293">
          <cell r="AX293">
            <v>1.73</v>
          </cell>
        </row>
        <row r="294">
          <cell r="AX294">
            <v>1.72</v>
          </cell>
        </row>
        <row r="295">
          <cell r="AX295">
            <v>1.71</v>
          </cell>
        </row>
        <row r="296">
          <cell r="AX296">
            <v>1.68</v>
          </cell>
        </row>
        <row r="297">
          <cell r="AX297">
            <v>1.71</v>
          </cell>
        </row>
        <row r="298">
          <cell r="AX298">
            <v>1.71</v>
          </cell>
        </row>
        <row r="299">
          <cell r="AX299">
            <v>1.73</v>
          </cell>
        </row>
        <row r="300">
          <cell r="AX300">
            <v>1.71</v>
          </cell>
        </row>
        <row r="301">
          <cell r="AX301">
            <v>1.74</v>
          </cell>
        </row>
        <row r="302">
          <cell r="AX302">
            <v>1.7</v>
          </cell>
        </row>
        <row r="303">
          <cell r="AX303">
            <v>1.7</v>
          </cell>
        </row>
        <row r="307">
          <cell r="AX307">
            <v>1.72</v>
          </cell>
        </row>
        <row r="308">
          <cell r="AX308">
            <v>1.72</v>
          </cell>
        </row>
        <row r="309">
          <cell r="AX309">
            <v>1.73</v>
          </cell>
        </row>
        <row r="310">
          <cell r="AX310">
            <v>1.71</v>
          </cell>
        </row>
        <row r="311">
          <cell r="AX311">
            <v>1.71</v>
          </cell>
        </row>
        <row r="312">
          <cell r="AX312">
            <v>1.72</v>
          </cell>
        </row>
        <row r="313">
          <cell r="AX313">
            <v>1.67</v>
          </cell>
        </row>
        <row r="314">
          <cell r="AX314">
            <v>1.63</v>
          </cell>
        </row>
        <row r="315">
          <cell r="AX315">
            <v>1.7</v>
          </cell>
        </row>
        <row r="316">
          <cell r="AX316">
            <v>1.71</v>
          </cell>
          <cell r="BD316">
            <v>19191</v>
          </cell>
          <cell r="BE316">
            <v>23731</v>
          </cell>
          <cell r="BF316">
            <v>2936644</v>
          </cell>
          <cell r="BG316">
            <v>1514534</v>
          </cell>
          <cell r="BJ316">
            <v>253230</v>
          </cell>
        </row>
        <row r="378">
          <cell r="BD378">
            <v>21015</v>
          </cell>
          <cell r="BE378">
            <v>23731</v>
          </cell>
          <cell r="BF378">
            <v>3001188</v>
          </cell>
          <cell r="BG378">
            <v>1556713</v>
          </cell>
          <cell r="BJ378">
            <v>253780</v>
          </cell>
        </row>
        <row r="440">
          <cell r="AX440">
            <v>1.67</v>
          </cell>
          <cell r="BD440">
            <v>22507</v>
          </cell>
          <cell r="BE440">
            <v>23731</v>
          </cell>
          <cell r="BF440">
            <v>3067573</v>
          </cell>
          <cell r="BG440">
            <v>1580309</v>
          </cell>
          <cell r="BJ440">
            <v>259977</v>
          </cell>
        </row>
        <row r="441">
          <cell r="AX441">
            <v>1.66</v>
          </cell>
        </row>
        <row r="442">
          <cell r="AX442">
            <v>1.81</v>
          </cell>
        </row>
        <row r="443">
          <cell r="AX443">
            <v>1.68</v>
          </cell>
        </row>
        <row r="444">
          <cell r="AX444">
            <v>1.73</v>
          </cell>
        </row>
        <row r="445">
          <cell r="AX445">
            <v>1.66</v>
          </cell>
        </row>
        <row r="446">
          <cell r="AX446">
            <v>1.7</v>
          </cell>
        </row>
        <row r="447">
          <cell r="AX447">
            <v>1.69</v>
          </cell>
        </row>
        <row r="448">
          <cell r="AX448">
            <v>1.62</v>
          </cell>
        </row>
        <row r="449">
          <cell r="AX449">
            <v>1.61</v>
          </cell>
        </row>
        <row r="450">
          <cell r="AX450">
            <v>1.61</v>
          </cell>
        </row>
        <row r="451">
          <cell r="AX451">
            <v>1.67</v>
          </cell>
        </row>
        <row r="452">
          <cell r="AX452">
            <v>1.68</v>
          </cell>
        </row>
        <row r="453">
          <cell r="AX453">
            <v>1.76</v>
          </cell>
        </row>
        <row r="454">
          <cell r="AX454">
            <v>1.73</v>
          </cell>
        </row>
        <row r="455">
          <cell r="AX455">
            <v>1.71</v>
          </cell>
        </row>
        <row r="456">
          <cell r="AX456">
            <v>1.71</v>
          </cell>
        </row>
        <row r="457">
          <cell r="AX457">
            <v>1.69</v>
          </cell>
        </row>
        <row r="458">
          <cell r="AX458">
            <v>1.65</v>
          </cell>
        </row>
        <row r="459">
          <cell r="AX459">
            <v>1.43</v>
          </cell>
        </row>
        <row r="460">
          <cell r="AX460">
            <v>0</v>
          </cell>
        </row>
        <row r="461">
          <cell r="AX461">
            <v>1.63</v>
          </cell>
        </row>
        <row r="462">
          <cell r="AX462">
            <v>1.73</v>
          </cell>
        </row>
        <row r="463">
          <cell r="AX463">
            <v>1.7</v>
          </cell>
        </row>
        <row r="464">
          <cell r="AX464">
            <v>1.69</v>
          </cell>
        </row>
        <row r="465">
          <cell r="AX465">
            <v>1.7</v>
          </cell>
        </row>
        <row r="466">
          <cell r="AX466">
            <v>1.71</v>
          </cell>
        </row>
        <row r="467">
          <cell r="AX467">
            <v>1.7</v>
          </cell>
        </row>
        <row r="468">
          <cell r="AX468">
            <v>1.71</v>
          </cell>
        </row>
        <row r="469">
          <cell r="AX469">
            <v>1.7</v>
          </cell>
        </row>
        <row r="470">
          <cell r="AX470">
            <v>1.73</v>
          </cell>
        </row>
        <row r="471">
          <cell r="AX471">
            <v>1.63</v>
          </cell>
        </row>
        <row r="472">
          <cell r="AX472">
            <v>1.69</v>
          </cell>
        </row>
        <row r="473">
          <cell r="AX473" t="str">
            <v>1..68</v>
          </cell>
        </row>
        <row r="474">
          <cell r="AX474">
            <v>1.77</v>
          </cell>
        </row>
        <row r="475">
          <cell r="AX475">
            <v>1.72</v>
          </cell>
        </row>
        <row r="476">
          <cell r="AX476">
            <v>1.74</v>
          </cell>
          <cell r="BD476">
            <v>23145</v>
          </cell>
          <cell r="BE476">
            <v>24193</v>
          </cell>
        </row>
        <row r="477">
          <cell r="AX477">
            <v>1.7</v>
          </cell>
        </row>
        <row r="478">
          <cell r="AX478">
            <v>1.7</v>
          </cell>
        </row>
        <row r="479">
          <cell r="AX479">
            <v>1.71</v>
          </cell>
        </row>
        <row r="480">
          <cell r="AX480">
            <v>1.7</v>
          </cell>
        </row>
        <row r="481">
          <cell r="AX481">
            <v>1.69</v>
          </cell>
        </row>
        <row r="482">
          <cell r="AX482">
            <v>1.7</v>
          </cell>
        </row>
        <row r="483">
          <cell r="AX483">
            <v>1.7</v>
          </cell>
        </row>
        <row r="484">
          <cell r="AX484">
            <v>1.73</v>
          </cell>
        </row>
        <row r="485">
          <cell r="AX485">
            <v>1.73</v>
          </cell>
        </row>
        <row r="486">
          <cell r="AX486">
            <v>1.68</v>
          </cell>
        </row>
        <row r="487">
          <cell r="AX487">
            <v>1.7</v>
          </cell>
        </row>
        <row r="488">
          <cell r="AX488">
            <v>1.69</v>
          </cell>
        </row>
        <row r="489">
          <cell r="AX489">
            <v>1.64</v>
          </cell>
        </row>
        <row r="490">
          <cell r="AX490">
            <v>1.66</v>
          </cell>
        </row>
        <row r="491">
          <cell r="AX491">
            <v>1.69</v>
          </cell>
        </row>
        <row r="492">
          <cell r="AX492">
            <v>1.64</v>
          </cell>
        </row>
        <row r="493">
          <cell r="AX493">
            <v>1.73</v>
          </cell>
        </row>
        <row r="494">
          <cell r="AX494">
            <v>1.7</v>
          </cell>
        </row>
        <row r="495">
          <cell r="AX495">
            <v>1.72</v>
          </cell>
        </row>
        <row r="496">
          <cell r="AX496">
            <v>1.7</v>
          </cell>
          <cell r="BJ496">
            <v>267457</v>
          </cell>
        </row>
        <row r="498">
          <cell r="BJ498">
            <v>267704</v>
          </cell>
        </row>
        <row r="558">
          <cell r="BJ558">
            <v>269956</v>
          </cell>
        </row>
        <row r="565">
          <cell r="BD565">
            <v>23633</v>
          </cell>
          <cell r="BE565">
            <v>24313</v>
          </cell>
        </row>
        <row r="574">
          <cell r="BF574">
            <v>3101999</v>
          </cell>
        </row>
        <row r="612">
          <cell r="BJ612">
            <v>273111</v>
          </cell>
        </row>
        <row r="618">
          <cell r="BD618">
            <v>24936</v>
          </cell>
          <cell r="BE618">
            <v>24489</v>
          </cell>
          <cell r="BF618">
            <v>3132019</v>
          </cell>
          <cell r="BG618">
            <v>7790</v>
          </cell>
        </row>
        <row r="619">
          <cell r="BD619">
            <v>24965</v>
          </cell>
          <cell r="BE619">
            <v>24489</v>
          </cell>
          <cell r="BF619">
            <v>3133519</v>
          </cell>
          <cell r="BG619">
            <v>8322</v>
          </cell>
          <cell r="BJ619">
            <v>273111</v>
          </cell>
        </row>
        <row r="680">
          <cell r="BD680">
            <v>24793</v>
          </cell>
          <cell r="BE680">
            <v>26719</v>
          </cell>
          <cell r="BF680">
            <v>3202931</v>
          </cell>
          <cell r="BG680">
            <v>73819</v>
          </cell>
          <cell r="BJ680">
            <v>276156</v>
          </cell>
        </row>
        <row r="681">
          <cell r="BF681">
            <v>3204015</v>
          </cell>
          <cell r="BG681">
            <v>74071</v>
          </cell>
          <cell r="BJ681">
            <v>276156</v>
          </cell>
        </row>
        <row r="722">
          <cell r="BJ722">
            <v>277872</v>
          </cell>
        </row>
        <row r="732">
          <cell r="BG732">
            <v>117158</v>
          </cell>
        </row>
        <row r="737">
          <cell r="BG737">
            <v>6016092</v>
          </cell>
        </row>
        <row r="740">
          <cell r="BD740">
            <v>25378</v>
          </cell>
          <cell r="BE740">
            <v>28439</v>
          </cell>
          <cell r="BF740">
            <v>3249663</v>
          </cell>
        </row>
        <row r="796">
          <cell r="BD796">
            <v>29959</v>
          </cell>
          <cell r="BE796">
            <v>25841</v>
          </cell>
          <cell r="BF796">
            <v>3307975</v>
          </cell>
          <cell r="BG796">
            <v>6059886</v>
          </cell>
        </row>
      </sheetData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_Decline_Tons"/>
      <sheetName val="Weekly Report Times"/>
      <sheetName val="TONNAGE"/>
      <sheetName val="Prod_Link"/>
      <sheetName val="Ton Daily"/>
      <sheetName val="DAM &amp; SILO LEVELS"/>
      <sheetName val="Water Reading"/>
      <sheetName val="ELECT-MECH B-DOWN"/>
      <sheetName val="Power Failures"/>
      <sheetName val="INC,ACCIDENT REPORT"/>
      <sheetName val="TRP - Tel Direc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23">
          <cell r="E223">
            <v>36414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y 09"/>
      <sheetName val="June 09"/>
      <sheetName val="July 09"/>
      <sheetName val="Aug 09"/>
      <sheetName val="Sept 09"/>
      <sheetName val="Oct 09"/>
      <sheetName val="Nov 09"/>
      <sheetName val="Dec 09"/>
      <sheetName val="Jan 10"/>
      <sheetName val="Feb 10"/>
      <sheetName val="Mar 10"/>
      <sheetName val="Apr 10"/>
      <sheetName val="May 10"/>
      <sheetName val="Jun 10"/>
      <sheetName val="Jul 10"/>
      <sheetName val="Aug 10"/>
      <sheetName val="Sep 10"/>
      <sheetName val="Oct 10"/>
      <sheetName val="Nov 10"/>
      <sheetName val="Dec 10"/>
    </sheetNames>
    <sheetDataSet>
      <sheetData sheetId="0">
        <row r="9">
          <cell r="I9">
            <v>8744</v>
          </cell>
        </row>
        <row r="10">
          <cell r="I10">
            <v>10129</v>
          </cell>
        </row>
        <row r="11">
          <cell r="I11">
            <v>8332</v>
          </cell>
        </row>
        <row r="12">
          <cell r="I12">
            <v>8559</v>
          </cell>
        </row>
        <row r="14">
          <cell r="I14">
            <v>5821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1">
          <cell r="H71">
            <v>14061</v>
          </cell>
        </row>
      </sheetData>
      <sheetData sheetId="12">
        <row r="74">
          <cell r="G74">
            <v>9153</v>
          </cell>
        </row>
      </sheetData>
      <sheetData sheetId="13"/>
      <sheetData sheetId="14">
        <row r="74">
          <cell r="G74">
            <v>8429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eport"/>
      <sheetName val="Summary"/>
      <sheetName val="Grades"/>
      <sheetName val="Tonnage"/>
      <sheetName val="Calculation"/>
      <sheetName val="Feed Grade Table (2)"/>
      <sheetName val="Feed Grade Table"/>
      <sheetName val="Targets"/>
      <sheetName val="Running times"/>
    </sheetNames>
    <sheetDataSet>
      <sheetData sheetId="0">
        <row r="25">
          <cell r="H25">
            <v>254681.91680000004</v>
          </cell>
        </row>
      </sheetData>
      <sheetData sheetId="1"/>
      <sheetData sheetId="2"/>
      <sheetData sheetId="3"/>
      <sheetData sheetId="4">
        <row r="552">
          <cell r="D552">
            <v>252141.46979999996</v>
          </cell>
          <cell r="H552">
            <v>3381.1355400000002</v>
          </cell>
        </row>
        <row r="612">
          <cell r="D612">
            <v>237972.70500000002</v>
          </cell>
          <cell r="H612">
            <v>2769.8824000000009</v>
          </cell>
        </row>
        <row r="674">
          <cell r="D674">
            <v>255148.33199999991</v>
          </cell>
          <cell r="H674">
            <v>3220.0877200000004</v>
          </cell>
        </row>
        <row r="790">
          <cell r="H790">
            <v>3006.1847999999995</v>
          </cell>
        </row>
        <row r="796">
          <cell r="D796">
            <v>249870.33525999999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 refreshError="1">
        <row r="22">
          <cell r="J22">
            <v>100783.67</v>
          </cell>
        </row>
        <row r="23">
          <cell r="J23">
            <v>38265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CH 10"/>
      <sheetName val="APRIL 10"/>
      <sheetName val="May 10"/>
      <sheetName val="June 10"/>
      <sheetName val="July 10"/>
      <sheetName val="Aug 10"/>
      <sheetName val="Sep 10"/>
      <sheetName val="Oct 10"/>
      <sheetName val="Nov 10"/>
      <sheetName val="Dec 10"/>
      <sheetName val="Jan 11"/>
      <sheetName val="Feb 11"/>
      <sheetName val="Mar 11"/>
      <sheetName val="Apr 11"/>
      <sheetName val="May 11"/>
      <sheetName val="June 11"/>
      <sheetName val="July 11"/>
      <sheetName val="August 11"/>
      <sheetName val="Sep 11"/>
      <sheetName val="Oct 11"/>
      <sheetName val="Nov 11"/>
      <sheetName val="Dec 11"/>
      <sheetName val="Jan 12"/>
      <sheetName val="Feb 12"/>
      <sheetName val="March 12"/>
      <sheetName val="April 12"/>
      <sheetName val="May 12"/>
      <sheetName val="Jun 12"/>
      <sheetName val="Jul 12"/>
      <sheetName val="Aug 12"/>
      <sheetName val="Sep 12"/>
      <sheetName val="Oct 12"/>
      <sheetName val="Nov 12"/>
      <sheetName val="Dec 12"/>
      <sheetName val="Jan 13"/>
      <sheetName val="Feb 13"/>
      <sheetName val="Mar 13"/>
      <sheetName val="Apr 13"/>
      <sheetName val="May 13"/>
      <sheetName val="Jun 13"/>
      <sheetName val=" Jul 13"/>
      <sheetName val="Aug 13"/>
      <sheetName val="Sep 13"/>
      <sheetName val="Oct 13"/>
      <sheetName val="Nov 13"/>
      <sheetName val="Dec 13"/>
      <sheetName val="Jan 14"/>
      <sheetName val="Feb 14"/>
      <sheetName val="Mar 14"/>
      <sheetName val="Apr 14"/>
      <sheetName val="30 Apr 14"/>
      <sheetName val="May 14"/>
      <sheetName val="Jun 14"/>
      <sheetName val="Jul 14"/>
      <sheetName val="Sheet1"/>
      <sheetName val="Aug 14"/>
      <sheetName val="Sep 14"/>
      <sheetName val="Oct 14"/>
      <sheetName val="Nov 14"/>
      <sheetName val="Dec 14"/>
      <sheetName val="Jan 15"/>
      <sheetName val="Feb 15"/>
      <sheetName val="Mar 15"/>
      <sheetName val="Apr 15"/>
      <sheetName val="May 15"/>
      <sheetName val="Jun 15"/>
      <sheetName val="Jul 15"/>
      <sheetName val="Aug 15"/>
      <sheetName val="Sep 15"/>
      <sheetName val="Oct 15"/>
      <sheetName val="Nov 15"/>
      <sheetName val="Dec 15"/>
      <sheetName val="Jan 16"/>
      <sheetName val="Feb 16"/>
      <sheetName val="Mar 16"/>
      <sheetName val="Apr 16"/>
      <sheetName val="May 16"/>
      <sheetName val="Jun 16"/>
      <sheetName val="Jul 16"/>
      <sheetName val="Aug 16"/>
      <sheetName val="Sep 16"/>
      <sheetName val="Oct 16"/>
      <sheetName val="Nov 16"/>
      <sheetName val="Dec 16"/>
      <sheetName val="Jan 17"/>
      <sheetName val="Feb 17"/>
      <sheetName val="Mar 17"/>
      <sheetName val="Apr 17"/>
      <sheetName val="May 17"/>
      <sheetName val="Jun 17"/>
      <sheetName val="Jul 17"/>
      <sheetName val="Aug 2017"/>
      <sheetName val="Sep 17"/>
      <sheetName val="Oct 17"/>
      <sheetName val="Nov 17"/>
      <sheetName val="Dec 17"/>
      <sheetName val="Jan 18"/>
      <sheetName val="Feb 18"/>
      <sheetName val="Mar 18"/>
      <sheetName val="Apr 18"/>
      <sheetName val="May 18"/>
      <sheetName val="Jun 18"/>
      <sheetName val="Jul 18"/>
      <sheetName val="Sheet2"/>
      <sheetName val="Aug 18"/>
      <sheetName val="Sep 18"/>
      <sheetName val="Oct 18"/>
      <sheetName val="Nov 18"/>
      <sheetName val="Dec 18"/>
      <sheetName val="Jan 19"/>
      <sheetName val="Feb 19"/>
      <sheetName val="Mar 19"/>
      <sheetName val="Apr 19"/>
    </sheetNames>
    <sheetDataSet>
      <sheetData sheetId="0"/>
      <sheetData sheetId="1">
        <row r="752">
          <cell r="E752">
            <v>43341</v>
          </cell>
        </row>
      </sheetData>
      <sheetData sheetId="2">
        <row r="727">
          <cell r="E727">
            <v>38344</v>
          </cell>
        </row>
      </sheetData>
      <sheetData sheetId="3"/>
      <sheetData sheetId="4">
        <row r="727">
          <cell r="E727">
            <v>36507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>
        <row r="22">
          <cell r="J22">
            <v>173572.62</v>
          </cell>
        </row>
        <row r="23">
          <cell r="J23">
            <v>64635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Summary"/>
      <sheetName val="Sheet2"/>
      <sheetName val="Sheet1"/>
    </sheetNames>
    <sheetDataSet>
      <sheetData sheetId="0"/>
      <sheetData sheetId="1">
        <row r="33">
          <cell r="AU33">
            <v>242814.77120000002</v>
          </cell>
        </row>
        <row r="38">
          <cell r="AU38">
            <v>3028.7769549999998</v>
          </cell>
        </row>
      </sheetData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>
        <row r="22">
          <cell r="J22">
            <v>179965.74499999997</v>
          </cell>
        </row>
        <row r="23">
          <cell r="J23">
            <v>62846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6DA5-0925-4FFF-B261-8A6DE04CB84F}">
  <sheetPr>
    <pageSetUpPr fitToPage="1"/>
  </sheetPr>
  <dimension ref="A2:AG121"/>
  <sheetViews>
    <sheetView showGridLines="0" topLeftCell="D1" zoomScale="65" zoomScaleNormal="65" workbookViewId="0">
      <pane ySplit="5" topLeftCell="A45" activePane="bottomLeft" state="frozen"/>
      <selection activeCell="C50" sqref="C50"/>
      <selection pane="bottomLeft" activeCell="P48" sqref="P48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39965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4241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73690.492678248062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16958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1343.2</v>
      </c>
      <c r="AA31" s="39">
        <f>Z46</f>
        <v>0</v>
      </c>
      <c r="AE31" s="20"/>
    </row>
    <row r="32" spans="1:31" x14ac:dyDescent="0.25">
      <c r="A32" s="24"/>
      <c r="B32" s="34">
        <f>C98</f>
        <v>87842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4443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29404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1050.1428571428571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20720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740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1085.8</v>
      </c>
      <c r="U48" s="40" t="s">
        <v>20</v>
      </c>
      <c r="Y48" s="16">
        <f>V101</f>
        <v>6255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-114.20000000000005</v>
      </c>
      <c r="U49" s="40" t="s">
        <v>21</v>
      </c>
      <c r="Y49" s="39"/>
      <c r="Z49" s="39"/>
      <c r="AF49" s="16">
        <f>V119</f>
        <v>-934.65359477123638</v>
      </c>
      <c r="AG49" s="39">
        <f>Z46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T55*T46*T46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T46/T58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1653.6666666666715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0.87629628464089304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1296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138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8843.3202614379079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1158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756.09599999999989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533.33333333333337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1770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9785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349.46428571428572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>
        <f>U46</f>
        <v>0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39965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8843.3202614379079</v>
      </c>
      <c r="D97" s="62"/>
      <c r="E97" s="63">
        <f>C97/(C$106)</f>
        <v>4.6764367803934524E-2</v>
      </c>
      <c r="F97" s="26"/>
      <c r="G97" s="26"/>
      <c r="H97" s="26"/>
      <c r="I97" s="31"/>
      <c r="J97" s="26"/>
      <c r="K97" s="26" t="s">
        <v>31</v>
      </c>
      <c r="L97" s="26"/>
      <c r="M97" s="64">
        <v>4224</v>
      </c>
      <c r="N97" s="62" t="s">
        <v>32</v>
      </c>
      <c r="O97" s="65"/>
      <c r="P97" s="49"/>
      <c r="Q97" s="32" t="s">
        <v>33</v>
      </c>
      <c r="R97" s="61">
        <f>O40</f>
        <v>4443</v>
      </c>
      <c r="T97" s="32" t="s">
        <v>34</v>
      </c>
      <c r="V97" s="61">
        <f>V101</f>
        <v>6255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1653.6666666666715</v>
      </c>
      <c r="AD97" s="59" t="s">
        <v>10</v>
      </c>
    </row>
    <row r="98" spans="1:30" x14ac:dyDescent="0.25">
      <c r="A98" s="24"/>
      <c r="B98" s="32" t="s">
        <v>35</v>
      </c>
      <c r="C98" s="66">
        <v>87842</v>
      </c>
      <c r="D98" s="62"/>
      <c r="E98" s="67">
        <f>C98/(C$106)</f>
        <v>0.46451733909784731</v>
      </c>
      <c r="F98" s="26"/>
      <c r="G98" s="26"/>
      <c r="H98" s="26"/>
      <c r="I98" s="31"/>
      <c r="J98" s="26"/>
      <c r="K98" s="26" t="s">
        <v>36</v>
      </c>
      <c r="L98" s="26"/>
      <c r="M98" s="68">
        <v>17.899999999999999</v>
      </c>
      <c r="N98" s="62" t="s">
        <v>9</v>
      </c>
      <c r="O98" s="65"/>
      <c r="P98" s="49"/>
      <c r="Q98" s="32" t="s">
        <v>37</v>
      </c>
      <c r="R98" s="66">
        <v>4241</v>
      </c>
      <c r="T98" s="16" t="s">
        <v>38</v>
      </c>
      <c r="V98" s="97">
        <v>243945</v>
      </c>
      <c r="W98" s="16" t="s">
        <v>32</v>
      </c>
      <c r="X98" s="32" t="s">
        <v>37</v>
      </c>
      <c r="Y98" s="66">
        <f>X64</f>
        <v>1296</v>
      </c>
      <c r="AA98" s="16" t="s">
        <v>38</v>
      </c>
      <c r="AC98" s="97">
        <v>64493</v>
      </c>
      <c r="AD98" s="16" t="s">
        <v>32</v>
      </c>
    </row>
    <row r="99" spans="1:30" x14ac:dyDescent="0.25">
      <c r="A99" s="24"/>
      <c r="B99" s="32" t="s">
        <v>39</v>
      </c>
      <c r="C99" s="66">
        <v>16958</v>
      </c>
      <c r="D99" s="62"/>
      <c r="E99" s="67">
        <f>C99/(C$106)</f>
        <v>8.967561117029775E-2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756.09599999999989</v>
      </c>
      <c r="N99" s="70" t="s">
        <v>10</v>
      </c>
      <c r="O99" s="71">
        <f>M99/M$117</f>
        <v>3.9983117645605287E-3</v>
      </c>
      <c r="P99" s="49"/>
      <c r="Q99" s="32"/>
      <c r="R99" s="66"/>
      <c r="T99" s="16" t="str">
        <f>K112</f>
        <v>Ore moisture %</v>
      </c>
      <c r="V99" s="113">
        <v>2.5</v>
      </c>
      <c r="X99" s="32"/>
      <c r="Y99" s="66"/>
      <c r="AA99" s="16">
        <f>R112</f>
        <v>0</v>
      </c>
      <c r="AC99" s="16">
        <f>V99</f>
        <v>2.5</v>
      </c>
    </row>
    <row r="100" spans="1:30" x14ac:dyDescent="0.25">
      <c r="A100" s="24"/>
      <c r="B100" s="32" t="s">
        <v>37</v>
      </c>
      <c r="C100" s="72">
        <v>1770</v>
      </c>
      <c r="D100" s="62"/>
      <c r="E100" s="63">
        <f>C100/(C$106)</f>
        <v>9.359938186780695E-3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4443</v>
      </c>
      <c r="N100" s="70" t="s">
        <v>10</v>
      </c>
      <c r="O100" s="74">
        <f>M100/M$117</f>
        <v>2.3495031279020692E-2</v>
      </c>
      <c r="P100" s="49"/>
      <c r="R100" s="72"/>
      <c r="T100" s="16" t="s">
        <v>42</v>
      </c>
      <c r="V100" s="16">
        <f>(V98/(1-V99/100))</f>
        <v>250200</v>
      </c>
      <c r="Y100" s="72"/>
      <c r="AA100" s="16" t="s">
        <v>42</v>
      </c>
      <c r="AC100" s="16">
        <f>(AC98/(1-AC99/100))</f>
        <v>66146.666666666672</v>
      </c>
    </row>
    <row r="101" spans="1:30" x14ac:dyDescent="0.25">
      <c r="A101" s="24"/>
      <c r="B101" s="26"/>
      <c r="C101" s="61"/>
      <c r="D101" s="75">
        <f>M117-C105</f>
        <v>73690.492678248062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6255</v>
      </c>
      <c r="AA101" s="16" t="s">
        <v>44</v>
      </c>
      <c r="AC101" s="16">
        <f>AC100-AC98</f>
        <v>1653.6666666666715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1343.2</v>
      </c>
      <c r="W102" s="16" t="str">
        <f>W108</f>
        <v>m3/month</v>
      </c>
      <c r="AA102" s="32" t="s">
        <v>48</v>
      </c>
      <c r="AC102" s="100">
        <f>AC108</f>
        <v>533.33333333333337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92</v>
      </c>
      <c r="V104" s="16">
        <f>100*46*2</f>
        <v>9200</v>
      </c>
      <c r="W104" s="16" t="str">
        <f>N104</f>
        <v>m2</v>
      </c>
      <c r="AA104" s="16" t="s">
        <v>93</v>
      </c>
      <c r="AC104" s="16">
        <f>100*46</f>
        <v>4600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115413.32026143791</v>
      </c>
      <c r="D105" s="75"/>
      <c r="E105" s="67">
        <f>SUM(E97:E102)</f>
        <v>0.61031725625886035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94</v>
      </c>
      <c r="V105" s="16">
        <f>46*46*2</f>
        <v>4232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189103.81293968597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13432</v>
      </c>
      <c r="W106" s="16" t="str">
        <f>W105</f>
        <v>m2</v>
      </c>
      <c r="AA106" s="16" t="s">
        <v>56</v>
      </c>
      <c r="AC106" s="16">
        <f>AC105+AC104</f>
        <v>6400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0.40101185551885699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1343.2</v>
      </c>
      <c r="W108" s="16" t="s">
        <v>16</v>
      </c>
      <c r="AA108" s="16" t="str">
        <f>T108</f>
        <v>Evaporation loss</v>
      </c>
      <c r="AC108" s="16">
        <f>(25/30)*AC107*AC106/12</f>
        <v>533.33333333333337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7.579707811907029E-4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236124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1.69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56.23534665624652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0.7782410164780621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183761.38177486593</v>
      </c>
      <c r="N116" s="94" t="s">
        <v>10</v>
      </c>
      <c r="O116" s="95">
        <f>M116/M$117</f>
        <v>0.97174868617522803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189103.81293968597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-934.65359477123638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C2CF-C951-4452-A4ED-77B03281E350}">
  <sheetPr>
    <pageSetUpPr fitToPage="1"/>
  </sheetPr>
  <dimension ref="A2:AG121"/>
  <sheetViews>
    <sheetView showGridLines="0" zoomScale="65" zoomScaleNormal="65" workbookViewId="0">
      <pane ySplit="5" topLeftCell="A50" activePane="bottomLeft" state="frozen"/>
      <selection activeCell="C50" sqref="C50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40025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5718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80731.505805013192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22620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1381.8</v>
      </c>
      <c r="AA31" s="39">
        <f>Z47</f>
        <v>0</v>
      </c>
      <c r="AE31" s="20"/>
    </row>
    <row r="32" spans="1:31" x14ac:dyDescent="0.25">
      <c r="A32" s="24"/>
      <c r="B32" s="34">
        <f>C98</f>
        <v>83600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2704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29308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1046.7142857142858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20886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745.92857142857144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O40+T24-Y47-Z31</f>
        <v>7040.2</v>
      </c>
      <c r="U48" s="40" t="s">
        <v>20</v>
      </c>
      <c r="Y48" s="16">
        <f>V101</f>
        <v>7870.7288100425503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5800.2</v>
      </c>
      <c r="U49" s="40" t="s">
        <v>21</v>
      </c>
      <c r="Y49" s="39"/>
      <c r="Z49" s="39"/>
      <c r="AF49" s="16">
        <f>V119</f>
        <v>1370.2569768648373</v>
      </c>
      <c r="AG49" s="39">
        <f>Z47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T55*T47*T47</f>
        <v>3075200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95331200</v>
      </c>
      <c r="U58" s="39"/>
      <c r="V58" s="42">
        <f>T47/T58</f>
        <v>1.3007284079084288E-5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2667.0330947193725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0.87629628474089305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1385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240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9167.5049278970855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1145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855.18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541.66666666666663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1869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8744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312.28571428571428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40025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9167.5049278970855</v>
      </c>
      <c r="D97" s="62"/>
      <c r="E97" s="63">
        <f>C97/(C$106)</f>
        <v>4.6303333691575042E-2</v>
      </c>
      <c r="F97" s="26"/>
      <c r="G97" s="26"/>
      <c r="H97" s="26"/>
      <c r="I97" s="31"/>
      <c r="J97" s="26"/>
      <c r="K97" s="26" t="s">
        <v>31</v>
      </c>
      <c r="L97" s="26"/>
      <c r="M97" s="64">
        <v>4751</v>
      </c>
      <c r="N97" s="62" t="s">
        <v>32</v>
      </c>
      <c r="O97" s="65"/>
      <c r="P97" s="49"/>
      <c r="Q97" s="32" t="s">
        <v>33</v>
      </c>
      <c r="R97" s="61">
        <f>O40</f>
        <v>2704</v>
      </c>
      <c r="T97" s="32" t="s">
        <v>34</v>
      </c>
      <c r="V97" s="61">
        <f>V101</f>
        <v>7870.7288100425503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2667.0330947193725</v>
      </c>
      <c r="AD97" s="59" t="s">
        <v>10</v>
      </c>
    </row>
    <row r="98" spans="1:30" x14ac:dyDescent="0.25">
      <c r="A98" s="24"/>
      <c r="B98" s="32" t="s">
        <v>35</v>
      </c>
      <c r="C98" s="66">
        <v>83600</v>
      </c>
      <c r="D98" s="62"/>
      <c r="E98" s="67">
        <f>C98/(C$106)</f>
        <v>0.42224779010875585</v>
      </c>
      <c r="F98" s="26"/>
      <c r="G98" s="26"/>
      <c r="H98" s="26"/>
      <c r="I98" s="31"/>
      <c r="J98" s="26"/>
      <c r="K98" s="26" t="s">
        <v>36</v>
      </c>
      <c r="L98" s="26"/>
      <c r="M98" s="68">
        <v>18</v>
      </c>
      <c r="N98" s="62" t="s">
        <v>9</v>
      </c>
      <c r="O98" s="65"/>
      <c r="P98" s="49"/>
      <c r="Q98" s="32" t="s">
        <v>37</v>
      </c>
      <c r="R98" s="66">
        <v>5718</v>
      </c>
      <c r="T98" s="16" t="s">
        <v>38</v>
      </c>
      <c r="V98" s="97">
        <v>210155</v>
      </c>
      <c r="W98" s="16" t="s">
        <v>32</v>
      </c>
      <c r="X98" s="32" t="s">
        <v>37</v>
      </c>
      <c r="Y98" s="66">
        <f>X64</f>
        <v>1385</v>
      </c>
      <c r="AA98" s="16" t="s">
        <v>38</v>
      </c>
      <c r="AC98" s="97">
        <v>71212</v>
      </c>
      <c r="AD98" s="16" t="s">
        <v>32</v>
      </c>
    </row>
    <row r="99" spans="1:30" x14ac:dyDescent="0.25">
      <c r="A99" s="24"/>
      <c r="B99" s="32" t="s">
        <v>39</v>
      </c>
      <c r="C99" s="66">
        <v>22620</v>
      </c>
      <c r="D99" s="62"/>
      <c r="E99" s="67">
        <f>C99/(C$106)</f>
        <v>0.11424934225191456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855.18</v>
      </c>
      <c r="N99" s="70" t="s">
        <v>10</v>
      </c>
      <c r="O99" s="71">
        <f>M99/M$117</f>
        <v>4.3193524538900213E-3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1869</v>
      </c>
      <c r="D100" s="62"/>
      <c r="E100" s="63">
        <f>C100/(C$106)</f>
        <v>9.4399655468093858E-3</v>
      </c>
      <c r="F100" s="26"/>
      <c r="G100" s="26"/>
      <c r="H100" s="26"/>
      <c r="I100" s="31"/>
      <c r="J100" s="26"/>
      <c r="K100" s="26" t="s">
        <v>41</v>
      </c>
      <c r="L100" s="26"/>
      <c r="M100" s="73">
        <v>2704</v>
      </c>
      <c r="N100" s="70" t="s">
        <v>10</v>
      </c>
      <c r="O100" s="74">
        <f>M100/M$117</f>
        <v>1.3657392637010476E-2</v>
      </c>
      <c r="P100" s="49"/>
      <c r="R100" s="72"/>
      <c r="T100" s="16" t="s">
        <v>42</v>
      </c>
      <c r="V100" s="16">
        <f>(V98/(1-V99/100))</f>
        <v>218025.72881004255</v>
      </c>
      <c r="Y100" s="72"/>
      <c r="AA100" s="16" t="s">
        <v>42</v>
      </c>
      <c r="AC100" s="16">
        <f>(AC98/(1-AC99/100))</f>
        <v>73879.033094719372</v>
      </c>
    </row>
    <row r="101" spans="1:30" x14ac:dyDescent="0.25">
      <c r="A101" s="24"/>
      <c r="B101" s="26"/>
      <c r="C101" s="61"/>
      <c r="D101" s="75">
        <f>M117-C105</f>
        <v>80731.505805013192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7870.7288100425503</v>
      </c>
      <c r="AA101" s="16" t="s">
        <v>44</v>
      </c>
      <c r="AC101" s="16">
        <f>AC100-AC98</f>
        <v>2667.0330947193725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1381.8</v>
      </c>
      <c r="W102" s="16" t="str">
        <f>W108</f>
        <v>m3/month</v>
      </c>
      <c r="AA102" s="32" t="s">
        <v>48</v>
      </c>
      <c r="AC102" s="100">
        <f>AC108</f>
        <v>541.66666666666663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89</v>
      </c>
      <c r="V104" s="16">
        <f>100*47*2</f>
        <v>9400</v>
      </c>
      <c r="W104" s="16" t="str">
        <f>N104</f>
        <v>m2</v>
      </c>
      <c r="AA104" s="16" t="s">
        <v>90</v>
      </c>
      <c r="AC104" s="16">
        <f>100*47</f>
        <v>4700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117256.50492789708</v>
      </c>
      <c r="D105" s="75"/>
      <c r="E105" s="67">
        <f>SUM(E97:E102)</f>
        <v>0.59224043159905482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91</v>
      </c>
      <c r="V105" s="16">
        <f>47*47*2</f>
        <v>4418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197988.01073291028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13818</v>
      </c>
      <c r="W106" s="16" t="str">
        <f>W105</f>
        <v>m2</v>
      </c>
      <c r="AA106" s="16" t="s">
        <v>56</v>
      </c>
      <c r="AC106" s="16">
        <f>AC105+AC104</f>
        <v>6500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0.41553027707474766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1381.8</v>
      </c>
      <c r="W108" s="16" t="s">
        <v>16</v>
      </c>
      <c r="AA108" s="16" t="str">
        <f>T108</f>
        <v>Evaporation loss</v>
      </c>
      <c r="AC108" s="16">
        <f>(25/30)*AC107*AC106/12</f>
        <v>541.66666666666663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7.239588108867677E-4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244780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1.68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55.750224618149147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0.79371474617244153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194285.49556809023</v>
      </c>
      <c r="N116" s="94" t="s">
        <v>10</v>
      </c>
      <c r="O116" s="95">
        <f>M116/M$117</f>
        <v>0.98129929609821265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197988.01073291028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1370.2569768648373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0831-BCE8-4C17-8705-15D0DC4828EE}">
  <sheetPr>
    <pageSetUpPr fitToPage="1"/>
  </sheetPr>
  <dimension ref="A2:AG121"/>
  <sheetViews>
    <sheetView showGridLines="0" topLeftCell="C1" zoomScale="65" zoomScaleNormal="65" workbookViewId="0">
      <pane ySplit="5" topLeftCell="A80" activePane="bottomLeft" state="frozen"/>
      <selection activeCell="C50" sqref="C50"/>
      <selection pane="bottomLeft" activeCell="G129" sqref="G12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40056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3904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113970.34638160563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6525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1420.8</v>
      </c>
      <c r="AA31" s="39">
        <f>Z48</f>
        <v>0</v>
      </c>
      <c r="AE31" s="20"/>
    </row>
    <row r="32" spans="1:31" x14ac:dyDescent="0.25">
      <c r="A32" s="24"/>
      <c r="B32" s="34">
        <f>C98</f>
        <v>58747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1041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27024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871.74193548387098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22079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712.22580645161293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-3865.4950928519656</v>
      </c>
      <c r="U48" s="40" t="s">
        <v>20</v>
      </c>
      <c r="Y48" s="16">
        <f>V101</f>
        <v>7389.6950928519655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-5105.4950928519656</v>
      </c>
      <c r="U49" s="40" t="s">
        <v>21</v>
      </c>
      <c r="Y49" s="39"/>
      <c r="Z49" s="39"/>
      <c r="AF49" s="16">
        <f>V119</f>
        <v>1112.2125739184685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T55*T48*T48</f>
        <v>29884104.625725254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926407243.39748287</v>
      </c>
      <c r="U58" s="39"/>
      <c r="V58" s="42">
        <f>T47/T58</f>
        <v>1.3385042148984661E-6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2576.5490196078463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0.87629628484089295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983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149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8854.0315385413433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834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797.62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550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2032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10129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326.74193548387098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40056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8854.0315385413433</v>
      </c>
      <c r="D97" s="62"/>
      <c r="E97" s="63">
        <f>C97/(C$106)</f>
        <v>4.6568700766279059E-2</v>
      </c>
      <c r="F97" s="26"/>
      <c r="G97" s="26"/>
      <c r="H97" s="26"/>
      <c r="I97" s="31"/>
      <c r="J97" s="26"/>
      <c r="K97" s="26" t="s">
        <v>31</v>
      </c>
      <c r="L97" s="26"/>
      <c r="M97" s="64">
        <v>4198</v>
      </c>
      <c r="N97" s="62" t="s">
        <v>32</v>
      </c>
      <c r="O97" s="65"/>
      <c r="P97" s="49"/>
      <c r="Q97" s="32" t="s">
        <v>33</v>
      </c>
      <c r="R97" s="61">
        <f>O40</f>
        <v>1041</v>
      </c>
      <c r="T97" s="32" t="s">
        <v>34</v>
      </c>
      <c r="V97" s="61">
        <f>V101</f>
        <v>7389.6950928519655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2576.5490196078463</v>
      </c>
      <c r="AD97" s="59" t="s">
        <v>10</v>
      </c>
    </row>
    <row r="98" spans="1:30" x14ac:dyDescent="0.25">
      <c r="A98" s="24"/>
      <c r="B98" s="32" t="s">
        <v>35</v>
      </c>
      <c r="C98" s="66">
        <v>58747</v>
      </c>
      <c r="D98" s="62"/>
      <c r="E98" s="67">
        <f>C98/(C$106)</f>
        <v>0.30898596328778161</v>
      </c>
      <c r="F98" s="26"/>
      <c r="G98" s="26"/>
      <c r="H98" s="26"/>
      <c r="I98" s="31"/>
      <c r="J98" s="26"/>
      <c r="K98" s="26" t="s">
        <v>36</v>
      </c>
      <c r="L98" s="26"/>
      <c r="M98" s="68">
        <v>19</v>
      </c>
      <c r="N98" s="62" t="s">
        <v>9</v>
      </c>
      <c r="O98" s="65"/>
      <c r="P98" s="49"/>
      <c r="Q98" s="32" t="s">
        <v>37</v>
      </c>
      <c r="R98" s="66">
        <v>3904</v>
      </c>
      <c r="T98" s="16" t="s">
        <v>38</v>
      </c>
      <c r="V98" s="97">
        <v>197311</v>
      </c>
      <c r="W98" s="16" t="s">
        <v>32</v>
      </c>
      <c r="X98" s="32" t="s">
        <v>37</v>
      </c>
      <c r="Y98" s="66">
        <f>X64</f>
        <v>983</v>
      </c>
      <c r="AA98" s="16" t="s">
        <v>38</v>
      </c>
      <c r="AC98" s="97">
        <v>68796</v>
      </c>
      <c r="AD98" s="16" t="s">
        <v>32</v>
      </c>
    </row>
    <row r="99" spans="1:30" x14ac:dyDescent="0.25">
      <c r="A99" s="24"/>
      <c r="B99" s="32" t="s">
        <v>39</v>
      </c>
      <c r="C99" s="66">
        <v>6525</v>
      </c>
      <c r="D99" s="62"/>
      <c r="E99" s="67">
        <f>C99/(C$106)</f>
        <v>3.4318916888569202E-2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797.62</v>
      </c>
      <c r="N99" s="70" t="s">
        <v>10</v>
      </c>
      <c r="O99" s="71">
        <f>M99/M$117</f>
        <v>4.1951654388751826E-3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2032</v>
      </c>
      <c r="D100" s="62"/>
      <c r="E100" s="63">
        <f>C100/(C$106)</f>
        <v>1.0687515573574348E-2</v>
      </c>
      <c r="F100" s="26"/>
      <c r="G100" s="26"/>
      <c r="H100" s="26"/>
      <c r="I100" s="31"/>
      <c r="J100" s="26"/>
      <c r="K100" s="26" t="s">
        <v>41</v>
      </c>
      <c r="L100" s="26"/>
      <c r="M100" s="73">
        <v>1041</v>
      </c>
      <c r="N100" s="70" t="s">
        <v>10</v>
      </c>
      <c r="O100" s="74">
        <f>M100/M$117</f>
        <v>5.4752478898085124E-3</v>
      </c>
      <c r="P100" s="49"/>
      <c r="R100" s="72"/>
      <c r="T100" s="16" t="s">
        <v>42</v>
      </c>
      <c r="V100" s="16">
        <f>(V98/(1-V99/100))</f>
        <v>204700.69509285197</v>
      </c>
      <c r="Y100" s="72"/>
      <c r="AA100" s="16" t="s">
        <v>42</v>
      </c>
      <c r="AC100" s="16">
        <f>(AC98/(1-AC99/100))</f>
        <v>71372.549019607846</v>
      </c>
    </row>
    <row r="101" spans="1:30" x14ac:dyDescent="0.25">
      <c r="A101" s="24"/>
      <c r="B101" s="26"/>
      <c r="C101" s="61"/>
      <c r="D101" s="75">
        <f>M117-C105</f>
        <v>113970.34638160563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7389.6950928519655</v>
      </c>
      <c r="AA101" s="16" t="s">
        <v>44</v>
      </c>
      <c r="AC101" s="16">
        <f>AC100-AC98</f>
        <v>2576.5490196078463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1420.8</v>
      </c>
      <c r="W102" s="16" t="str">
        <f>W108</f>
        <v>m3/month</v>
      </c>
      <c r="AA102" s="32" t="s">
        <v>48</v>
      </c>
      <c r="AC102" s="100">
        <f>AC108</f>
        <v>550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86</v>
      </c>
      <c r="V104" s="16">
        <f>100*48*2</f>
        <v>9600</v>
      </c>
      <c r="W104" s="16" t="str">
        <f>N104</f>
        <v>m2</v>
      </c>
      <c r="AA104" s="16" t="s">
        <v>87</v>
      </c>
      <c r="AC104" s="16">
        <f>100*48</f>
        <v>4800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76158.031538541341</v>
      </c>
      <c r="D105" s="75"/>
      <c r="E105" s="67">
        <f>SUM(E97:E102)</f>
        <v>0.4005610965162042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88</v>
      </c>
      <c r="V105" s="16">
        <f>48*48*2</f>
        <v>4608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190128.37792014697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14208</v>
      </c>
      <c r="W106" s="16" t="str">
        <f>W105</f>
        <v>m2</v>
      </c>
      <c r="AA106" s="16" t="s">
        <v>56</v>
      </c>
      <c r="AC106" s="16">
        <f>AC105+AC104</f>
        <v>6600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0.60575345899516353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1420.8</v>
      </c>
      <c r="W108" s="16" t="s">
        <v>16</v>
      </c>
      <c r="AA108" s="16" t="str">
        <f>T108</f>
        <v>Evaporation loss</v>
      </c>
      <c r="AC108" s="16">
        <f>(25/30)*AC107*AC106/12</f>
        <v>550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7.5388622355067065E-4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236410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1.6786440677966101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55.684000365775589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0.79584798762880982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188146.42275532693</v>
      </c>
      <c r="N116" s="94" t="s">
        <v>10</v>
      </c>
      <c r="O116" s="95">
        <f>M116/M$117</f>
        <v>0.98957570044776555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190128.37792014697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1112.2125739184685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DD71-08AA-45AC-B3C5-8E05F4394B14}">
  <sheetPr>
    <pageSetUpPr fitToPage="1"/>
  </sheetPr>
  <dimension ref="A2:AG121"/>
  <sheetViews>
    <sheetView showGridLines="0" topLeftCell="C1" zoomScale="65" zoomScaleNormal="65" workbookViewId="0">
      <pane ySplit="5" topLeftCell="A68" activePane="bottomLeft" state="frozen"/>
      <selection activeCell="C50" sqref="C50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40086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7304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112479.27282822049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14332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1460.1999999999998</v>
      </c>
      <c r="AA31" s="39">
        <f>Z48</f>
        <v>0</v>
      </c>
      <c r="AE31" s="20"/>
    </row>
    <row r="32" spans="1:31" x14ac:dyDescent="0.25">
      <c r="A32" s="24"/>
      <c r="B32" s="34">
        <f>C98</f>
        <v>78046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4639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26959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V41/30</f>
        <v>898.63333333333333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15016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V43/30</f>
        <v>500.53333333333336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2977.5654320987642</v>
      </c>
      <c r="U48" s="40" t="s">
        <v>20</v>
      </c>
      <c r="Y48" s="16">
        <f>V101</f>
        <v>7505.234567901236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1777.5654320987642</v>
      </c>
      <c r="U49" s="40" t="s">
        <v>21</v>
      </c>
      <c r="Y49" s="39"/>
      <c r="Z49" s="39"/>
      <c r="AF49" s="16">
        <f>V119</f>
        <v>499.27284988070096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T55*T49*T49</f>
        <v>6319477.7307849322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195903809.65433291</v>
      </c>
      <c r="U58" s="39"/>
      <c r="V58" s="42">
        <f>T47/T58</f>
        <v>6.1254551512671869E-6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2556.661998132593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0.87629628494089296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1317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343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9562.623716153128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974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550.46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558.33333333333337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1975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8332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Z81/30</f>
        <v>277.73333333333335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Z83/30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40086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9562.623716153128</v>
      </c>
      <c r="D97" s="62"/>
      <c r="E97" s="63">
        <f>C97/(C$106)</f>
        <v>4.4190615716264037E-2</v>
      </c>
      <c r="F97" s="26"/>
      <c r="G97" s="26"/>
      <c r="H97" s="26"/>
      <c r="I97" s="31"/>
      <c r="J97" s="26"/>
      <c r="K97" s="26" t="s">
        <v>31</v>
      </c>
      <c r="L97" s="26"/>
      <c r="M97" s="64">
        <v>3238</v>
      </c>
      <c r="N97" s="62" t="s">
        <v>32</v>
      </c>
      <c r="O97" s="65"/>
      <c r="P97" s="49"/>
      <c r="Q97" s="32" t="s">
        <v>33</v>
      </c>
      <c r="R97" s="61">
        <f>O40</f>
        <v>4639</v>
      </c>
      <c r="T97" s="32" t="s">
        <v>34</v>
      </c>
      <c r="V97" s="61">
        <f>V101</f>
        <v>7505.234567901236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2556.661998132593</v>
      </c>
      <c r="AD97" s="59" t="s">
        <v>10</v>
      </c>
    </row>
    <row r="98" spans="1:30" x14ac:dyDescent="0.25">
      <c r="A98" s="24"/>
      <c r="B98" s="32" t="s">
        <v>35</v>
      </c>
      <c r="C98" s="66">
        <v>78046</v>
      </c>
      <c r="D98" s="62"/>
      <c r="E98" s="67">
        <f>C98/(C$106)</f>
        <v>0.36066469794954709</v>
      </c>
      <c r="F98" s="26"/>
      <c r="G98" s="26"/>
      <c r="H98" s="26"/>
      <c r="I98" s="31"/>
      <c r="J98" s="26"/>
      <c r="K98" s="26" t="s">
        <v>36</v>
      </c>
      <c r="L98" s="26"/>
      <c r="M98" s="68">
        <v>17</v>
      </c>
      <c r="N98" s="62" t="s">
        <v>9</v>
      </c>
      <c r="O98" s="65"/>
      <c r="P98" s="49"/>
      <c r="Q98" s="32" t="s">
        <v>37</v>
      </c>
      <c r="R98" s="66">
        <v>7304</v>
      </c>
      <c r="T98" s="16" t="s">
        <v>38</v>
      </c>
      <c r="V98" s="97">
        <v>200396</v>
      </c>
      <c r="W98" s="16" t="s">
        <v>32</v>
      </c>
      <c r="X98" s="32" t="s">
        <v>37</v>
      </c>
      <c r="Y98" s="66">
        <f>X64</f>
        <v>1317</v>
      </c>
      <c r="AA98" s="16" t="s">
        <v>38</v>
      </c>
      <c r="AC98" s="97">
        <v>68265</v>
      </c>
      <c r="AD98" s="16" t="s">
        <v>32</v>
      </c>
    </row>
    <row r="99" spans="1:30" x14ac:dyDescent="0.25">
      <c r="A99" s="24"/>
      <c r="B99" s="32" t="s">
        <v>39</v>
      </c>
      <c r="C99" s="66">
        <v>14332</v>
      </c>
      <c r="D99" s="62"/>
      <c r="E99" s="67">
        <f>C99/(C$106)</f>
        <v>6.6230767124681705E-2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550.46</v>
      </c>
      <c r="N99" s="70" t="s">
        <v>10</v>
      </c>
      <c r="O99" s="71">
        <f>M99/M$117</f>
        <v>2.5437753329229902E-3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1975</v>
      </c>
      <c r="D100" s="62"/>
      <c r="E100" s="63">
        <f>C100/(C$106)</f>
        <v>9.1268326173071703E-3</v>
      </c>
      <c r="F100" s="26"/>
      <c r="G100" s="26"/>
      <c r="H100" s="26"/>
      <c r="I100" s="31"/>
      <c r="J100" s="26"/>
      <c r="K100" s="26" t="s">
        <v>41</v>
      </c>
      <c r="L100" s="26"/>
      <c r="M100" s="73">
        <v>4639</v>
      </c>
      <c r="N100" s="70" t="s">
        <v>10</v>
      </c>
      <c r="O100" s="74">
        <f>M100/M$117</f>
        <v>2.143765899325973E-2</v>
      </c>
      <c r="P100" s="49"/>
      <c r="R100" s="72"/>
      <c r="T100" s="16" t="s">
        <v>42</v>
      </c>
      <c r="V100" s="16">
        <f>(V98/(1-V99/100))</f>
        <v>207901.23456790124</v>
      </c>
      <c r="Y100" s="72"/>
      <c r="AA100" s="16" t="s">
        <v>42</v>
      </c>
      <c r="AC100" s="16">
        <f>(AC98/(1-AC99/100))</f>
        <v>70821.661998132593</v>
      </c>
    </row>
    <row r="101" spans="1:30" x14ac:dyDescent="0.25">
      <c r="A101" s="24"/>
      <c r="B101" s="26"/>
      <c r="C101" s="61"/>
      <c r="D101" s="75">
        <f>M117-C105</f>
        <v>112479.27282822049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7505.234567901236</v>
      </c>
      <c r="AA101" s="16" t="s">
        <v>44</v>
      </c>
      <c r="AC101" s="16">
        <f>AC100-AC98</f>
        <v>2556.661998132593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1460.1999999999998</v>
      </c>
      <c r="W102" s="16" t="str">
        <f>W108</f>
        <v>m3/month</v>
      </c>
      <c r="AA102" s="32" t="s">
        <v>48</v>
      </c>
      <c r="AC102" s="100">
        <f>AC108</f>
        <v>558.33333333333337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83</v>
      </c>
      <c r="V104" s="16">
        <f>100*49*2</f>
        <v>9800</v>
      </c>
      <c r="W104" s="16" t="str">
        <f>N104</f>
        <v>m2</v>
      </c>
      <c r="AA104" s="16" t="s">
        <v>84</v>
      </c>
      <c r="AC104" s="16">
        <f>100*49</f>
        <v>4900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103915.62371615313</v>
      </c>
      <c r="D105" s="75"/>
      <c r="E105" s="67">
        <f>SUM(E97:E102)</f>
        <v>0.48021291340780003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85</v>
      </c>
      <c r="V105" s="16">
        <f>49*49*2</f>
        <v>4802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216394.89654437362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14602</v>
      </c>
      <c r="W106" s="16" t="str">
        <f>W105</f>
        <v>m2</v>
      </c>
      <c r="AA106" s="16" t="s">
        <v>56</v>
      </c>
      <c r="AC106" s="16">
        <f>AC105+AC104</f>
        <v>6700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0.53292027366840578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1460.1999999999998</v>
      </c>
      <c r="W108" s="16" t="s">
        <v>16</v>
      </c>
      <c r="AA108" s="16" t="str">
        <f>T108</f>
        <v>Evaporation loss</v>
      </c>
      <c r="AC108" s="16">
        <f>(25/30)*AC107*AC106/12</f>
        <v>558.33333333333337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6.6237775062612085E-4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255330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1.6596666666666671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54.74578133822434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0.82662476551738373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211062.10137955358</v>
      </c>
      <c r="N116" s="94" t="s">
        <v>10</v>
      </c>
      <c r="O116" s="95">
        <f>M116/M$117</f>
        <v>0.97535618792319112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216394.89654437362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499.27284988070096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A6FD-E051-42E0-A8A3-19B9E170D668}">
  <sheetPr>
    <pageSetUpPr fitToPage="1"/>
  </sheetPr>
  <dimension ref="A2:AG121"/>
  <sheetViews>
    <sheetView showGridLines="0" topLeftCell="B1" zoomScale="65" zoomScaleNormal="65" workbookViewId="0">
      <pane ySplit="5" topLeftCell="A72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2" width="9.6640625" style="16" customWidth="1"/>
    <col min="13" max="13" width="11.332031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40116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6505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64599.245129451359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50172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85489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6139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25280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815.48387096774195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12636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407.61290322580646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6477.665836705055</v>
      </c>
      <c r="U48" s="40" t="s">
        <v>20</v>
      </c>
      <c r="Y48" s="16">
        <f>V101</f>
        <v>4666.334163294945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5237.665836705055</v>
      </c>
      <c r="U49" s="40" t="s">
        <v>21</v>
      </c>
      <c r="Y49" s="39"/>
      <c r="Z49" s="39"/>
      <c r="AF49" s="16">
        <f>V119</f>
        <v>-3197.9903516962331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1778.221807241418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0.87629628504089296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1177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216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9642.5463222325961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961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380.25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1662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8744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282.06451612903226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40116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9642.5463222325961</v>
      </c>
      <c r="D97" s="62"/>
      <c r="E97" s="63">
        <f>C97/(C$106)</f>
        <v>4.5577273307476164E-2</v>
      </c>
      <c r="F97" s="26"/>
      <c r="G97" s="26"/>
      <c r="H97" s="26"/>
      <c r="I97" s="31"/>
      <c r="J97" s="26"/>
      <c r="K97" s="26" t="s">
        <v>31</v>
      </c>
      <c r="L97" s="26"/>
      <c r="M97" s="64">
        <v>2535</v>
      </c>
      <c r="N97" s="62" t="s">
        <v>32</v>
      </c>
      <c r="O97" s="65"/>
      <c r="P97" s="49"/>
      <c r="Q97" s="32" t="s">
        <v>33</v>
      </c>
      <c r="R97" s="61">
        <f>O40</f>
        <v>6139</v>
      </c>
      <c r="T97" s="32" t="s">
        <v>34</v>
      </c>
      <c r="V97" s="61">
        <f>V101</f>
        <v>4666.334163294945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1778.221807241418</v>
      </c>
      <c r="AD97" s="59" t="s">
        <v>10</v>
      </c>
    </row>
    <row r="98" spans="1:30" x14ac:dyDescent="0.25">
      <c r="A98" s="24"/>
      <c r="B98" s="32" t="s">
        <v>35</v>
      </c>
      <c r="C98" s="66">
        <v>85489</v>
      </c>
      <c r="D98" s="62"/>
      <c r="E98" s="67">
        <f>C98/(C$106)</f>
        <v>0.40407952293670535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6505</v>
      </c>
      <c r="T98" s="16" t="s">
        <v>38</v>
      </c>
      <c r="V98" s="97">
        <v>124595</v>
      </c>
      <c r="W98" s="16" t="s">
        <v>32</v>
      </c>
      <c r="X98" s="32" t="s">
        <v>37</v>
      </c>
      <c r="Y98" s="66">
        <f>X64</f>
        <v>1177</v>
      </c>
      <c r="AA98" s="16" t="s">
        <v>38</v>
      </c>
      <c r="AC98" s="97">
        <v>47480</v>
      </c>
      <c r="AD98" s="16" t="s">
        <v>32</v>
      </c>
    </row>
    <row r="99" spans="1:30" x14ac:dyDescent="0.25">
      <c r="A99" s="24"/>
      <c r="B99" s="32" t="s">
        <v>39</v>
      </c>
      <c r="C99" s="66">
        <v>50172</v>
      </c>
      <c r="D99" s="62"/>
      <c r="E99" s="67">
        <f>C99/(C$106)</f>
        <v>0.23714720987238569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380.25</v>
      </c>
      <c r="N99" s="70" t="s">
        <v>10</v>
      </c>
      <c r="O99" s="71">
        <f>M99/M$117</f>
        <v>1.7973217442791727E-3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1662</v>
      </c>
      <c r="D100" s="62"/>
      <c r="E100" s="63">
        <f>C100/(C$106)</f>
        <v>7.855749477953939E-3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6139</v>
      </c>
      <c r="N100" s="70" t="s">
        <v>10</v>
      </c>
      <c r="O100" s="74">
        <f>M100/M$117</f>
        <v>2.9017115550637324E-2</v>
      </c>
      <c r="P100" s="49"/>
      <c r="R100" s="72"/>
      <c r="T100" s="16" t="s">
        <v>42</v>
      </c>
      <c r="V100" s="16">
        <f>(V98/(1-V99/100))</f>
        <v>129261.33416329495</v>
      </c>
      <c r="Y100" s="72"/>
      <c r="AA100" s="16" t="s">
        <v>42</v>
      </c>
      <c r="AC100" s="16">
        <f>(AC98/(1-AC99/100))</f>
        <v>49258.221807241418</v>
      </c>
    </row>
    <row r="101" spans="1:30" x14ac:dyDescent="0.25">
      <c r="A101" s="24"/>
      <c r="B101" s="26"/>
      <c r="C101" s="61"/>
      <c r="D101" s="75">
        <f>M117-C105</f>
        <v>64599.245129451359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4666.334163294945</v>
      </c>
      <c r="AA101" s="16" t="s">
        <v>44</v>
      </c>
      <c r="AC101" s="16">
        <f>AC100-AC98</f>
        <v>1778.221807241418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146965.54632223258</v>
      </c>
      <c r="D105" s="75"/>
      <c r="E105" s="67">
        <f>SUM(E97:E102)</f>
        <v>0.6946597555945212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211564.79145168394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0.31526866547748228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6.7750008797077405E-4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257464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1.6786440677966101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55.684000365775589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0.79584798762880982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204902.20628686389</v>
      </c>
      <c r="N116" s="94" t="s">
        <v>10</v>
      </c>
      <c r="O116" s="95">
        <f>M116/M$117</f>
        <v>0.96850806261711264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211564.79145168394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-3197.9903516962331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09E-558F-4D52-AF4B-5BA54594EED2}">
  <sheetPr>
    <pageSetUpPr fitToPage="1"/>
  </sheetPr>
  <dimension ref="A2:AG121"/>
  <sheetViews>
    <sheetView showGridLines="0" topLeftCell="C1" zoomScale="65" zoomScaleNormal="65" workbookViewId="0">
      <pane ySplit="5" topLeftCell="A77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40147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5413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103628.9378676932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47226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43565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6459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26802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957.21428571428567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14930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533.21428571428567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4045.4178856727958</v>
      </c>
      <c r="U48" s="40" t="s">
        <v>20</v>
      </c>
      <c r="Y48" s="16">
        <f>V101</f>
        <v>6326.5821143272042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2845.4178856727958</v>
      </c>
      <c r="U49" s="40" t="s">
        <v>21</v>
      </c>
      <c r="Y49" s="39"/>
      <c r="Z49" s="39"/>
      <c r="AF49" s="16">
        <f>V119</f>
        <v>-395.23114430958049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T55*T51*T49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2245.6978939724067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1086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231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8967.5111526091914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855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418.08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1560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10129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361.75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40147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8967.5111526091914</v>
      </c>
      <c r="D97" s="62"/>
      <c r="E97" s="63">
        <f>C97/(C$106)</f>
        <v>4.3755173316262441E-2</v>
      </c>
      <c r="F97" s="26"/>
      <c r="G97" s="26"/>
      <c r="H97" s="26"/>
      <c r="I97" s="31"/>
      <c r="J97" s="26"/>
      <c r="K97" s="26" t="s">
        <v>31</v>
      </c>
      <c r="L97" s="26"/>
      <c r="M97" s="64">
        <v>2613</v>
      </c>
      <c r="N97" s="62" t="s">
        <v>32</v>
      </c>
      <c r="O97" s="65"/>
      <c r="P97" s="49"/>
      <c r="Q97" s="32" t="s">
        <v>33</v>
      </c>
      <c r="R97" s="61">
        <f>O40</f>
        <v>6459</v>
      </c>
      <c r="T97" s="32" t="s">
        <v>34</v>
      </c>
      <c r="V97" s="61">
        <f>V101</f>
        <v>6326.5821143272042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2245.6978939724067</v>
      </c>
      <c r="AD97" s="59" t="s">
        <v>10</v>
      </c>
    </row>
    <row r="98" spans="1:30" x14ac:dyDescent="0.25">
      <c r="A98" s="24"/>
      <c r="B98" s="32" t="s">
        <v>35</v>
      </c>
      <c r="C98" s="66">
        <v>43565</v>
      </c>
      <c r="D98" s="62"/>
      <c r="E98" s="67">
        <f>C98/(C$106)</f>
        <v>0.21256668579311952</v>
      </c>
      <c r="F98" s="26"/>
      <c r="G98" s="26"/>
      <c r="H98" s="26"/>
      <c r="I98" s="31"/>
      <c r="J98" s="26"/>
      <c r="K98" s="26" t="s">
        <v>36</v>
      </c>
      <c r="L98" s="26"/>
      <c r="M98" s="68">
        <v>16</v>
      </c>
      <c r="N98" s="62" t="s">
        <v>9</v>
      </c>
      <c r="O98" s="65"/>
      <c r="P98" s="49"/>
      <c r="Q98" s="32" t="s">
        <v>37</v>
      </c>
      <c r="R98" s="66">
        <v>5413</v>
      </c>
      <c r="T98" s="16" t="s">
        <v>38</v>
      </c>
      <c r="V98" s="97">
        <v>168925</v>
      </c>
      <c r="W98" s="16" t="s">
        <v>32</v>
      </c>
      <c r="X98" s="32" t="s">
        <v>37</v>
      </c>
      <c r="Y98" s="66">
        <f>X64</f>
        <v>1086</v>
      </c>
      <c r="AA98" s="16" t="s">
        <v>38</v>
      </c>
      <c r="AC98" s="97">
        <v>59962</v>
      </c>
      <c r="AD98" s="16" t="s">
        <v>32</v>
      </c>
    </row>
    <row r="99" spans="1:30" x14ac:dyDescent="0.25">
      <c r="A99" s="24"/>
      <c r="B99" s="32" t="s">
        <v>39</v>
      </c>
      <c r="C99" s="66">
        <v>47226</v>
      </c>
      <c r="D99" s="62"/>
      <c r="E99" s="67">
        <f>C99/(C$106)</f>
        <v>0.23042980152108028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418.08</v>
      </c>
      <c r="N99" s="70" t="s">
        <v>10</v>
      </c>
      <c r="O99" s="71">
        <f>M99/M$117</f>
        <v>2.0399375644757811E-3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1560</v>
      </c>
      <c r="D100" s="62"/>
      <c r="E100" s="63">
        <f>C100/(C$106)</f>
        <v>7.6117073301335122E-3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6459</v>
      </c>
      <c r="N100" s="70" t="s">
        <v>10</v>
      </c>
      <c r="O100" s="74">
        <f>M100/M$117</f>
        <v>3.1515395926495098E-2</v>
      </c>
      <c r="P100" s="49"/>
      <c r="R100" s="72"/>
      <c r="T100" s="16" t="s">
        <v>42</v>
      </c>
      <c r="V100" s="16">
        <f>(V98/(1-V99/100))</f>
        <v>175251.5821143272</v>
      </c>
      <c r="Y100" s="72"/>
      <c r="AA100" s="16" t="s">
        <v>42</v>
      </c>
      <c r="AC100" s="16">
        <f>(AC98/(1-AC99/100))</f>
        <v>62207.697893972407</v>
      </c>
    </row>
    <row r="101" spans="1:30" x14ac:dyDescent="0.25">
      <c r="A101" s="24"/>
      <c r="B101" s="26"/>
      <c r="C101" s="61"/>
      <c r="D101" s="75">
        <f>M117-C105</f>
        <v>103628.9378676932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6326.5821143272042</v>
      </c>
      <c r="AA101" s="16" t="s">
        <v>44</v>
      </c>
      <c r="AC101" s="16">
        <f>AC100-AC98</f>
        <v>2245.6978939724067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101318.51115260919</v>
      </c>
      <c r="D105" s="75"/>
      <c r="E105" s="67">
        <f>SUM(E97:E102)</f>
        <v>0.49436336796059577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204947.44902030239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0.52357141846201016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6.9937520815804507E-4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239440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1.6596666666666671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54.74578133822434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0.82662476551738373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197927.03385548235</v>
      </c>
      <c r="N116" s="94" t="s">
        <v>10</v>
      </c>
      <c r="O116" s="95">
        <f>M116/M$117</f>
        <v>0.96574529130087106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204947.44902030239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-395.23114430958049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20F0-3012-4E65-B790-B48369662967}">
  <sheetPr>
    <pageSetUpPr fitToPage="1"/>
  </sheetPr>
  <dimension ref="A2:AG121"/>
  <sheetViews>
    <sheetView showGridLines="0" zoomScale="65" zoomScaleNormal="65" workbookViewId="0">
      <pane ySplit="5" topLeftCell="A72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40177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5923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77060.617253778342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42179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64544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550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17137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612.03571428571433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10664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380.85714285714283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1249.2956738250796</v>
      </c>
      <c r="U48" s="40" t="s">
        <v>20</v>
      </c>
      <c r="Y48" s="16">
        <f>V101</f>
        <v>3723.7043261749204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9.2956738250795752</v>
      </c>
      <c r="U49" s="40" t="s">
        <v>21</v>
      </c>
      <c r="Y49" s="39"/>
      <c r="Z49" s="39"/>
      <c r="AF49" s="16">
        <f>V119</f>
        <v>-4011.2234671646402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  <c r="AF50" s="16" t="s">
        <v>95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T55*T52*T49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1371.2681813466115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1038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339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9106.1959746861721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699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281.10000000000002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1824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8332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297.57142857142856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40177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9106.1959746861721</v>
      </c>
      <c r="D97" s="62"/>
      <c r="E97" s="63">
        <f>C97/(C$106)</f>
        <v>4.6767077402986065E-2</v>
      </c>
      <c r="F97" s="26"/>
      <c r="G97" s="26"/>
      <c r="H97" s="26"/>
      <c r="I97" s="31"/>
      <c r="J97" s="26"/>
      <c r="K97" s="26" t="s">
        <v>31</v>
      </c>
      <c r="L97" s="26"/>
      <c r="M97" s="64">
        <v>1874</v>
      </c>
      <c r="N97" s="62" t="s">
        <v>32</v>
      </c>
      <c r="O97" s="65"/>
      <c r="P97" s="49"/>
      <c r="Q97" s="32" t="s">
        <v>33</v>
      </c>
      <c r="R97" s="61">
        <f>O40</f>
        <v>550</v>
      </c>
      <c r="T97" s="32" t="s">
        <v>34</v>
      </c>
      <c r="V97" s="61">
        <f>V101</f>
        <v>3723.7043261749204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1371.2681813466115</v>
      </c>
      <c r="AD97" s="59" t="s">
        <v>10</v>
      </c>
    </row>
    <row r="98" spans="1:30" x14ac:dyDescent="0.25">
      <c r="A98" s="24"/>
      <c r="B98" s="32" t="s">
        <v>35</v>
      </c>
      <c r="C98" s="66">
        <v>64544</v>
      </c>
      <c r="D98" s="62"/>
      <c r="E98" s="67">
        <f>C98/(C$106)</f>
        <v>0.33148136195282801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5923</v>
      </c>
      <c r="T98" s="16" t="s">
        <v>38</v>
      </c>
      <c r="V98" s="97">
        <v>99426</v>
      </c>
      <c r="W98" s="16" t="s">
        <v>32</v>
      </c>
      <c r="X98" s="32" t="s">
        <v>37</v>
      </c>
      <c r="Y98" s="66">
        <f>X64</f>
        <v>1038</v>
      </c>
      <c r="AA98" s="16" t="s">
        <v>38</v>
      </c>
      <c r="AC98" s="97">
        <v>36614</v>
      </c>
      <c r="AD98" s="16" t="s">
        <v>32</v>
      </c>
    </row>
    <row r="99" spans="1:30" x14ac:dyDescent="0.25">
      <c r="A99" s="24"/>
      <c r="B99" s="32" t="s">
        <v>39</v>
      </c>
      <c r="C99" s="66">
        <v>42179</v>
      </c>
      <c r="D99" s="62"/>
      <c r="E99" s="67">
        <f>C99/(C$106)</f>
        <v>0.21662048162196848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281.10000000000002</v>
      </c>
      <c r="N99" s="70" t="s">
        <v>10</v>
      </c>
      <c r="O99" s="71">
        <f>M99/M$117</f>
        <v>1.4436572081826346E-3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1824</v>
      </c>
      <c r="D100" s="62"/>
      <c r="E100" s="63">
        <f>C100/(C$106)</f>
        <v>9.3675942644081307E-3</v>
      </c>
      <c r="F100" s="26"/>
      <c r="G100" s="26"/>
      <c r="H100" s="26"/>
      <c r="I100" s="31"/>
      <c r="J100" s="26"/>
      <c r="K100" s="26" t="s">
        <v>41</v>
      </c>
      <c r="L100" s="26"/>
      <c r="M100" s="73">
        <v>550</v>
      </c>
      <c r="N100" s="70" t="s">
        <v>10</v>
      </c>
      <c r="O100" s="74">
        <f>M100/M$117</f>
        <v>2.8246583582371004E-3</v>
      </c>
      <c r="P100" s="49"/>
      <c r="R100" s="72"/>
      <c r="T100" s="16" t="s">
        <v>42</v>
      </c>
      <c r="V100" s="16">
        <f>(V98/(1-V99/100))</f>
        <v>103149.70432617492</v>
      </c>
      <c r="Y100" s="72"/>
      <c r="AA100" s="16" t="s">
        <v>42</v>
      </c>
      <c r="AC100" s="16">
        <f>(AC98/(1-AC99/100))</f>
        <v>37985.268181346612</v>
      </c>
    </row>
    <row r="101" spans="1:30" x14ac:dyDescent="0.25">
      <c r="A101" s="24"/>
      <c r="B101" s="26"/>
      <c r="C101" s="61"/>
      <c r="D101" s="75">
        <f>M117-C105</f>
        <v>77060.617253778342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3723.7043261749204</v>
      </c>
      <c r="AA101" s="16" t="s">
        <v>44</v>
      </c>
      <c r="AC101" s="16">
        <f>AC100-AC98</f>
        <v>1371.2681813466115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117653.19597468617</v>
      </c>
      <c r="D105" s="75"/>
      <c r="E105" s="67">
        <f>SUM(E97:E102)</f>
        <v>0.60423651524219069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194713.81322846451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0.39775402411203936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7.3613249334218613E-4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243143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1.6780327868852456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55.654110169803928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0.79681248509578506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193739.37806364446</v>
      </c>
      <c r="N116" s="94" t="s">
        <v>10</v>
      </c>
      <c r="O116" s="95">
        <f>M116/M$117</f>
        <v>0.99499555194023803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194713.81322846451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-4011.2234671646402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  <c r="T120" s="16" t="s">
        <v>95</v>
      </c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C3AE-BE25-4ABA-B8AC-0C8891B17AD9}">
  <sheetPr>
    <pageSetUpPr fitToPage="1"/>
  </sheetPr>
  <dimension ref="A2:AG121"/>
  <sheetViews>
    <sheetView showGridLines="0" topLeftCell="D1" zoomScale="65" zoomScaleNormal="65" workbookViewId="0">
      <pane ySplit="5" topLeftCell="A77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40208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3527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84226.301865722678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23596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66385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6197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20009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645.45161290322585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10285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331.77419354838707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4246.1506185566977</v>
      </c>
      <c r="U48" s="40" t="s">
        <v>20</v>
      </c>
      <c r="Y48" s="16">
        <f>V101</f>
        <v>3977.8493814433023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3006.1506185566977</v>
      </c>
      <c r="U49" s="40" t="s">
        <v>21</v>
      </c>
      <c r="Y49" s="39"/>
      <c r="Z49" s="39"/>
      <c r="AF49" s="16">
        <f>V119</f>
        <v>-1338.8310309278295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T55*T53*T49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1522.8247422680433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1245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333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6839.5051546391751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912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429.3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1492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8559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276.09677419354841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40208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6839.5051546391751</v>
      </c>
      <c r="D97" s="62"/>
      <c r="E97" s="63">
        <f>C97/(C$106)</f>
        <v>3.7468773168196731E-2</v>
      </c>
      <c r="F97" s="26"/>
      <c r="G97" s="26"/>
      <c r="H97" s="26"/>
      <c r="I97" s="31"/>
      <c r="J97" s="26"/>
      <c r="K97" s="26" t="s">
        <v>31</v>
      </c>
      <c r="L97" s="26"/>
      <c r="M97" s="64">
        <v>2862</v>
      </c>
      <c r="N97" s="62" t="s">
        <v>32</v>
      </c>
      <c r="O97" s="65"/>
      <c r="P97" s="49"/>
      <c r="Q97" s="32" t="s">
        <v>33</v>
      </c>
      <c r="R97" s="61">
        <f>O40</f>
        <v>6197</v>
      </c>
      <c r="T97" s="32" t="s">
        <v>34</v>
      </c>
      <c r="V97" s="61">
        <f>V101</f>
        <v>3977.8493814433023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1522.8247422680433</v>
      </c>
      <c r="AD97" s="59" t="s">
        <v>10</v>
      </c>
    </row>
    <row r="98" spans="1:30" x14ac:dyDescent="0.25">
      <c r="A98" s="24"/>
      <c r="B98" s="32" t="s">
        <v>35</v>
      </c>
      <c r="C98" s="66">
        <v>66385</v>
      </c>
      <c r="D98" s="62"/>
      <c r="E98" s="67">
        <f>C98/(C$106)</f>
        <v>0.36367609213417768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3527</v>
      </c>
      <c r="T98" s="16" t="s">
        <v>38</v>
      </c>
      <c r="V98" s="97">
        <v>128617.13000000002</v>
      </c>
      <c r="W98" s="16" t="s">
        <v>32</v>
      </c>
      <c r="X98" s="32" t="s">
        <v>37</v>
      </c>
      <c r="Y98" s="66">
        <f>X64</f>
        <v>1245</v>
      </c>
      <c r="AA98" s="16" t="s">
        <v>38</v>
      </c>
      <c r="AC98" s="97">
        <v>49238</v>
      </c>
      <c r="AD98" s="16" t="s">
        <v>32</v>
      </c>
    </row>
    <row r="99" spans="1:30" x14ac:dyDescent="0.25">
      <c r="A99" s="24"/>
      <c r="B99" s="32" t="s">
        <v>39</v>
      </c>
      <c r="C99" s="66">
        <v>23596</v>
      </c>
      <c r="D99" s="62"/>
      <c r="E99" s="67">
        <f>C99/(C$106)</f>
        <v>0.12926566347816609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429.3</v>
      </c>
      <c r="N99" s="70" t="s">
        <v>10</v>
      </c>
      <c r="O99" s="71">
        <f>M99/M$117</f>
        <v>2.3518286714348494E-3</v>
      </c>
      <c r="P99" s="49"/>
      <c r="Q99" s="32"/>
      <c r="R99" s="66"/>
      <c r="T99" s="16" t="str">
        <f>K112</f>
        <v>Ore moisture %</v>
      </c>
      <c r="V99" s="113">
        <f>M112</f>
        <v>3</v>
      </c>
      <c r="X99" s="32"/>
      <c r="Y99" s="66"/>
      <c r="AA99" s="16">
        <f>R112</f>
        <v>0</v>
      </c>
      <c r="AC99" s="16">
        <f>V99</f>
        <v>3</v>
      </c>
    </row>
    <row r="100" spans="1:30" x14ac:dyDescent="0.25">
      <c r="A100" s="24"/>
      <c r="B100" s="32" t="s">
        <v>37</v>
      </c>
      <c r="C100" s="72">
        <v>1492</v>
      </c>
      <c r="D100" s="62"/>
      <c r="E100" s="63">
        <f>C100/(C$106)</f>
        <v>8.1736044206401019E-3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6197</v>
      </c>
      <c r="N100" s="70" t="s">
        <v>10</v>
      </c>
      <c r="O100" s="74">
        <f>M100/M$117</f>
        <v>3.3948945438811468E-2</v>
      </c>
      <c r="P100" s="49"/>
      <c r="R100" s="72"/>
      <c r="T100" s="16" t="s">
        <v>42</v>
      </c>
      <c r="V100" s="16">
        <f>(V98/(1-V99/100))</f>
        <v>132594.97938144332</v>
      </c>
      <c r="Y100" s="72"/>
      <c r="AA100" s="16" t="s">
        <v>42</v>
      </c>
      <c r="AC100" s="16">
        <f>(AC98/(1-AC99/100))</f>
        <v>50760.824742268043</v>
      </c>
    </row>
    <row r="101" spans="1:30" x14ac:dyDescent="0.25">
      <c r="A101" s="24"/>
      <c r="B101" s="26"/>
      <c r="C101" s="61"/>
      <c r="D101" s="75">
        <f>M117-C105</f>
        <v>84226.301865722678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3977.8493814433023</v>
      </c>
      <c r="AA101" s="16" t="s">
        <v>44</v>
      </c>
      <c r="AC101" s="16">
        <f>AC100-AC98</f>
        <v>1522.8247422680433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98312.505154639177</v>
      </c>
      <c r="D105" s="75"/>
      <c r="E105" s="67">
        <f>SUM(E97:E102)</f>
        <v>0.53858413320118059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182538.80702036186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0.47918699836024237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7.8523119088888072E-4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221144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1.6792982456140346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55.715964014539246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0.79481772897090508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175769.17185554182</v>
      </c>
      <c r="N116" s="94" t="s">
        <v>10</v>
      </c>
      <c r="O116" s="95">
        <f>M116/M$117</f>
        <v>0.96291399469886474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182538.80702036186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-1338.8310309278295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D27E-359C-478B-AEB7-9A32D820679B}">
  <sheetPr>
    <pageSetUpPr fitToPage="1"/>
  </sheetPr>
  <dimension ref="A2:AG121"/>
  <sheetViews>
    <sheetView showGridLines="0" topLeftCell="E1" zoomScale="65" zoomScaleNormal="65" workbookViewId="0">
      <pane ySplit="5" topLeftCell="A66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40236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4645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84723.95289705928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40793.25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64995.75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7480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36414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1300.5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24289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867.46428571428567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4703.5247070978221</v>
      </c>
      <c r="U48" s="40" t="s">
        <v>20</v>
      </c>
      <c r="Y48" s="16">
        <f>V101</f>
        <v>5921.4752929021779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3463.5247070978221</v>
      </c>
      <c r="U49" s="40" t="s">
        <v>21</v>
      </c>
      <c r="Y49" s="39"/>
      <c r="Z49" s="39"/>
      <c r="AF49" s="16">
        <f>V119</f>
        <v>229.80270275856765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T55*T54*T49</f>
        <v>13854.098828391288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429477.06368012994</v>
      </c>
      <c r="U58" s="39"/>
      <c r="V58" s="42">
        <f>T47/T58</f>
        <v>2.8872321827261515E-3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1996.9390432895962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1225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340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7688.6116334332064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885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572.96451188911453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1711.1111111111111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5821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207.89285714285714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40236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7688.6116334332064</v>
      </c>
      <c r="D97" s="62"/>
      <c r="E97" s="63">
        <f>C97/(C$106)</f>
        <v>3.8459850576043904E-2</v>
      </c>
      <c r="F97" s="26"/>
      <c r="G97" s="26"/>
      <c r="H97" s="26"/>
      <c r="I97" s="31"/>
      <c r="J97" s="26"/>
      <c r="K97" s="26" t="s">
        <v>31</v>
      </c>
      <c r="L97" s="26"/>
      <c r="M97" s="64">
        <v>3512.9645118891149</v>
      </c>
      <c r="N97" s="62" t="s">
        <v>32</v>
      </c>
      <c r="O97" s="65"/>
      <c r="P97" s="49"/>
      <c r="Q97" s="32" t="s">
        <v>33</v>
      </c>
      <c r="R97" s="61">
        <f>O40</f>
        <v>7480</v>
      </c>
      <c r="T97" s="32" t="s">
        <v>34</v>
      </c>
      <c r="V97" s="61">
        <f>V101</f>
        <v>5921.4752929021779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1996.9390432895962</v>
      </c>
      <c r="AD97" s="59" t="s">
        <v>10</v>
      </c>
    </row>
    <row r="98" spans="1:30" x14ac:dyDescent="0.25">
      <c r="A98" s="24"/>
      <c r="B98" s="32" t="s">
        <v>35</v>
      </c>
      <c r="C98" s="66">
        <v>64995.75</v>
      </c>
      <c r="D98" s="62"/>
      <c r="E98" s="67">
        <f>C98/(C$106)</f>
        <v>0.32512070478473359</v>
      </c>
      <c r="F98" s="26"/>
      <c r="G98" s="26"/>
      <c r="H98" s="26"/>
      <c r="I98" s="31"/>
      <c r="J98" s="26"/>
      <c r="K98" s="26" t="s">
        <v>36</v>
      </c>
      <c r="L98" s="26"/>
      <c r="M98" s="68">
        <v>16.309999999999999</v>
      </c>
      <c r="N98" s="62" t="s">
        <v>9</v>
      </c>
      <c r="O98" s="65"/>
      <c r="P98" s="49"/>
      <c r="Q98" s="32" t="s">
        <v>37</v>
      </c>
      <c r="R98" s="66">
        <v>4645</v>
      </c>
      <c r="T98" s="16" t="s">
        <v>38</v>
      </c>
      <c r="V98" s="97">
        <v>178548.16000000003</v>
      </c>
      <c r="W98" s="16" t="s">
        <v>32</v>
      </c>
      <c r="X98" s="32" t="s">
        <v>37</v>
      </c>
      <c r="Y98" s="66">
        <f>X64</f>
        <v>1225</v>
      </c>
      <c r="AA98" s="16" t="s">
        <v>38</v>
      </c>
      <c r="AC98" s="97">
        <v>60213</v>
      </c>
      <c r="AD98" s="16" t="s">
        <v>32</v>
      </c>
    </row>
    <row r="99" spans="1:30" x14ac:dyDescent="0.25">
      <c r="A99" s="24"/>
      <c r="B99" s="32" t="s">
        <v>39</v>
      </c>
      <c r="C99" s="66">
        <v>40793.25</v>
      </c>
      <c r="D99" s="62"/>
      <c r="E99" s="67">
        <f>C99/(C$106)</f>
        <v>0.20405534501040196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572.96451188911453</v>
      </c>
      <c r="N99" s="70" t="s">
        <v>10</v>
      </c>
      <c r="O99" s="71">
        <f>M99/M$117</f>
        <v>2.866073949789483E-3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1711.1111111111111</v>
      </c>
      <c r="D100" s="62"/>
      <c r="E100" s="63">
        <f>C100/(C$106)</f>
        <v>8.5592927292851145E-3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7480</v>
      </c>
      <c r="N100" s="70" t="s">
        <v>10</v>
      </c>
      <c r="O100" s="74">
        <f>M100/M$117</f>
        <v>3.7416336788017784E-2</v>
      </c>
      <c r="P100" s="49"/>
      <c r="R100" s="72"/>
      <c r="T100" s="16" t="s">
        <v>42</v>
      </c>
      <c r="V100" s="16">
        <f>(V98/(1-V99/100))</f>
        <v>184469.63529290221</v>
      </c>
      <c r="Y100" s="72"/>
      <c r="AA100" s="16" t="s">
        <v>42</v>
      </c>
      <c r="AC100" s="16">
        <f>(AC98/(1-AC99/100))</f>
        <v>62209.939043289596</v>
      </c>
    </row>
    <row r="101" spans="1:30" x14ac:dyDescent="0.25">
      <c r="A101" s="24"/>
      <c r="B101" s="26"/>
      <c r="C101" s="61"/>
      <c r="D101" s="75">
        <f>M117-C105</f>
        <v>84723.95289705928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5921.4752929021779</v>
      </c>
      <c r="AA101" s="16" t="s">
        <v>44</v>
      </c>
      <c r="AC101" s="16">
        <f>AC100-AC98</f>
        <v>1996.9390432895962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115188.72274454431</v>
      </c>
      <c r="D105" s="75"/>
      <c r="E105" s="67">
        <f>SUM(E97:E102)</f>
        <v>0.57619519310046463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199912.67564160359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0.44192340101699634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7.1698887706850842E-4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231832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1.6594642857142865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54.735660235234917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0.8269625244353429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191716.37596489443</v>
      </c>
      <c r="N116" s="94" t="s">
        <v>10</v>
      </c>
      <c r="O116" s="95">
        <f>M116/M$117</f>
        <v>0.95900060038512414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199912.67564160359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229.80270275856765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C121:N121"/>
    <mergeCell ref="Q94:W94"/>
    <mergeCell ref="X94:AD94"/>
    <mergeCell ref="A119:P120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B693-95D2-4C29-B726-D41DF6E96C4F}">
  <sheetPr>
    <pageSetUpPr fitToPage="1"/>
  </sheetPr>
  <dimension ref="A2:AG121"/>
  <sheetViews>
    <sheetView showGridLines="0" zoomScale="65" zoomScaleNormal="65" workbookViewId="0">
      <pane ySplit="5" topLeftCell="A64" activePane="bottomLeft" state="frozen"/>
      <selection activeCell="C50" sqref="C50"/>
      <selection pane="bottomLeft" activeCell="F99" sqref="F9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40513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5786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100065.72339405467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27941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64477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30057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1073.4642857142858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-772.56069841925637</v>
      </c>
      <c r="U48" s="40" t="s">
        <v>20</v>
      </c>
      <c r="Y48" s="16">
        <f>V101</f>
        <v>5058.5606984192564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-2012.5606984192564</v>
      </c>
      <c r="U49" s="40" t="s">
        <v>21</v>
      </c>
      <c r="Y49" s="39"/>
      <c r="Z49" s="39"/>
      <c r="AF49" s="16">
        <f>V119</f>
        <v>-1385.18238379998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2002.6765161690273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1490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294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8446.4195983882637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1196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590.01487999999995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1948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40513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8446.4195983882637</v>
      </c>
      <c r="D97" s="62"/>
      <c r="E97" s="63">
        <f>C97/(C$106)</f>
        <v>4.1632969790653528E-2</v>
      </c>
      <c r="F97" s="26"/>
      <c r="G97" s="26"/>
      <c r="H97" s="26"/>
      <c r="I97" s="31"/>
      <c r="J97" s="26"/>
      <c r="K97" s="26" t="s">
        <v>31</v>
      </c>
      <c r="L97" s="26"/>
      <c r="M97" s="64">
        <v>3762.85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5058.5606984192564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2002.6765161690273</v>
      </c>
      <c r="AD97" s="59" t="s">
        <v>10</v>
      </c>
    </row>
    <row r="98" spans="1:30" x14ac:dyDescent="0.25">
      <c r="A98" s="24"/>
      <c r="B98" s="32" t="s">
        <v>35</v>
      </c>
      <c r="C98" s="66">
        <v>64477</v>
      </c>
      <c r="D98" s="62"/>
      <c r="E98" s="67">
        <f>C98/(C$106)</f>
        <v>0.31781146578417629</v>
      </c>
      <c r="F98" s="26"/>
      <c r="G98" s="26"/>
      <c r="H98" s="26"/>
      <c r="I98" s="31"/>
      <c r="J98" s="26"/>
      <c r="K98" s="26" t="s">
        <v>36</v>
      </c>
      <c r="L98" s="26"/>
      <c r="M98" s="68">
        <v>15.68</v>
      </c>
      <c r="N98" s="62" t="s">
        <v>9</v>
      </c>
      <c r="O98" s="65"/>
      <c r="P98" s="49"/>
      <c r="Q98" s="32" t="s">
        <v>37</v>
      </c>
      <c r="R98" s="66">
        <v>5786</v>
      </c>
      <c r="T98" s="16" t="s">
        <v>38</v>
      </c>
      <c r="V98" s="97">
        <v>152529</v>
      </c>
      <c r="W98" s="16" t="s">
        <v>32</v>
      </c>
      <c r="X98" s="32" t="s">
        <v>37</v>
      </c>
      <c r="Y98" s="66">
        <f>X64</f>
        <v>1490</v>
      </c>
      <c r="AA98" s="16" t="s">
        <v>38</v>
      </c>
      <c r="AC98" s="97">
        <v>60386</v>
      </c>
      <c r="AD98" s="16" t="s">
        <v>32</v>
      </c>
    </row>
    <row r="99" spans="1:30" x14ac:dyDescent="0.25">
      <c r="A99" s="24"/>
      <c r="B99" s="32" t="s">
        <v>39</v>
      </c>
      <c r="C99" s="66">
        <v>27941</v>
      </c>
      <c r="D99" s="62"/>
      <c r="E99" s="67">
        <f>C99/(C$106)</f>
        <v>0.13772306660476866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590.01487999999995</v>
      </c>
      <c r="N99" s="70" t="s">
        <v>10</v>
      </c>
      <c r="O99" s="71">
        <f>M99/M$117</f>
        <v>2.908222991877334E-3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1948</v>
      </c>
      <c r="D100" s="62"/>
      <c r="E100" s="63">
        <f>C100/(C$106)</f>
        <v>9.6018229034783784E-3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157587.56069841926</v>
      </c>
      <c r="Y100" s="72"/>
      <c r="AA100" s="16" t="s">
        <v>42</v>
      </c>
      <c r="AC100" s="16">
        <f>(AC98/(1-AC99/100))</f>
        <v>62388.676516169027</v>
      </c>
    </row>
    <row r="101" spans="1:30" x14ac:dyDescent="0.25">
      <c r="A101" s="24"/>
      <c r="B101" s="26"/>
      <c r="C101" s="61"/>
      <c r="D101" s="75">
        <f>M117-C105</f>
        <v>100065.72339405467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5058.5606984192564</v>
      </c>
      <c r="AA101" s="16" t="s">
        <v>44</v>
      </c>
      <c r="AC101" s="16">
        <f>AC100-AC98</f>
        <v>2002.6765161690273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102812.41959838827</v>
      </c>
      <c r="D105" s="75"/>
      <c r="E105" s="67">
        <f>SUM(E97:E102)</f>
        <v>0.50676932508307682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202878.14299244294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0.49502003952178175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7.0650865936491467E-4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254681.91680000004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1.68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55.750224618149147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0.79371474617244153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202144.79294762289</v>
      </c>
      <c r="N116" s="94" t="s">
        <v>10</v>
      </c>
      <c r="O116" s="95">
        <f>M116/M$117</f>
        <v>0.99638526834875762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202878.14299244294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-1385.18238379998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9011-4BBB-45E4-A290-B1592C8F0BDD}">
  <sheetPr>
    <pageSetUpPr fitToPage="1"/>
  </sheetPr>
  <dimension ref="A2:AG121"/>
  <sheetViews>
    <sheetView showGridLines="0" topLeftCell="AH1" zoomScale="65" zoomScaleNormal="65" workbookViewId="0">
      <pane ySplit="5" topLeftCell="A96" activePane="bottomLeft" state="frozen"/>
      <selection activeCell="F99" sqref="F99"/>
      <selection pane="bottomLeft" activeCell="F99" sqref="F9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40544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4991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117303.11654490055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12871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59881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30852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1101.8571428571429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-2417.4694699865649</v>
      </c>
      <c r="U48" s="40" t="s">
        <v>20</v>
      </c>
      <c r="Y48" s="16">
        <f>V101</f>
        <v>5908.4694699865649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-3657.4694699865649</v>
      </c>
      <c r="U49" s="40" t="s">
        <v>21</v>
      </c>
      <c r="Y49" s="39"/>
      <c r="Z49" s="39"/>
      <c r="AF49" s="16">
        <f>V119</f>
        <v>214.07738402727409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2471.7563797913026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1959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468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8166.1484657505935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1491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664.90755999999999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1948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40544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8166.1484657505935</v>
      </c>
      <c r="D97" s="62"/>
      <c r="E97" s="63">
        <f>C97/(C$106)</f>
        <v>4.0796215469523091E-2</v>
      </c>
      <c r="F97" s="26"/>
      <c r="G97" s="26"/>
      <c r="H97" s="26"/>
      <c r="I97" s="31"/>
      <c r="J97" s="26"/>
      <c r="K97" s="26" t="s">
        <v>31</v>
      </c>
      <c r="L97" s="26"/>
      <c r="M97" s="64">
        <v>4235.08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5908.4694699865649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2471.7563797913026</v>
      </c>
      <c r="AD97" s="59" t="s">
        <v>10</v>
      </c>
    </row>
    <row r="98" spans="1:30" x14ac:dyDescent="0.25">
      <c r="A98" s="24"/>
      <c r="B98" s="32" t="s">
        <v>35</v>
      </c>
      <c r="C98" s="66">
        <v>59881</v>
      </c>
      <c r="D98" s="62"/>
      <c r="E98" s="67">
        <f>C98/(C$106)</f>
        <v>0.29915182031973636</v>
      </c>
      <c r="F98" s="26"/>
      <c r="G98" s="26"/>
      <c r="H98" s="26"/>
      <c r="I98" s="31"/>
      <c r="J98" s="26"/>
      <c r="K98" s="26" t="s">
        <v>36</v>
      </c>
      <c r="L98" s="26"/>
      <c r="M98" s="68">
        <v>15.7</v>
      </c>
      <c r="N98" s="62" t="s">
        <v>9</v>
      </c>
      <c r="O98" s="65"/>
      <c r="P98" s="49"/>
      <c r="Q98" s="32" t="s">
        <v>37</v>
      </c>
      <c r="R98" s="66">
        <v>4991</v>
      </c>
      <c r="T98" s="16" t="s">
        <v>38</v>
      </c>
      <c r="V98" s="97">
        <v>178156</v>
      </c>
      <c r="W98" s="16" t="s">
        <v>32</v>
      </c>
      <c r="X98" s="32" t="s">
        <v>37</v>
      </c>
      <c r="Y98" s="66">
        <f>X65</f>
        <v>0</v>
      </c>
      <c r="AA98" s="16" t="s">
        <v>38</v>
      </c>
      <c r="AC98" s="97">
        <v>74530</v>
      </c>
      <c r="AD98" s="16" t="s">
        <v>32</v>
      </c>
    </row>
    <row r="99" spans="1:30" x14ac:dyDescent="0.25">
      <c r="A99" s="24"/>
      <c r="B99" s="32" t="s">
        <v>39</v>
      </c>
      <c r="C99" s="66">
        <v>12871</v>
      </c>
      <c r="D99" s="62"/>
      <c r="E99" s="67">
        <f>C99/(C$106)</f>
        <v>6.4300580807523697E-2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664.90755999999999</v>
      </c>
      <c r="N99" s="70" t="s">
        <v>10</v>
      </c>
      <c r="O99" s="71">
        <f>M99/M$117</f>
        <v>3.321726539609464E-3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1948</v>
      </c>
      <c r="D100" s="62"/>
      <c r="E100" s="63">
        <f>C100/(C$106)</f>
        <v>9.7317637645137258E-3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184064.46946998656</v>
      </c>
      <c r="Y100" s="72"/>
      <c r="AA100" s="16" t="s">
        <v>42</v>
      </c>
      <c r="AC100" s="16">
        <f>(AC98/(1-AC99/100))</f>
        <v>77001.756379791303</v>
      </c>
    </row>
    <row r="101" spans="1:30" x14ac:dyDescent="0.25">
      <c r="A101" s="24"/>
      <c r="B101" s="26"/>
      <c r="C101" s="61"/>
      <c r="D101" s="75">
        <f>M117-C105</f>
        <v>117303.11654490055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5908.4694699865649</v>
      </c>
      <c r="AA101" s="16" t="s">
        <v>44</v>
      </c>
      <c r="AC101" s="16">
        <f>AC100-AC98</f>
        <v>2471.7563797913026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82866.148465750593</v>
      </c>
      <c r="D105" s="75"/>
      <c r="E105" s="67">
        <f>SUM(E97:E102)</f>
        <v>0.41398038036129692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200169.26501065114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0.5883954405927897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7.160697962916902E-4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246231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55.259292735284149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0.80965037824575747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199361.0222858311</v>
      </c>
      <c r="N116" s="94" t="s">
        <v>10</v>
      </c>
      <c r="O116" s="95">
        <f>M116/M$117</f>
        <v>0.99596220366409882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200169.26501065114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214.07738402727409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847E-C593-44BF-8527-B9BD2E35C505}">
  <dimension ref="A1:GF243"/>
  <sheetViews>
    <sheetView tabSelected="1" zoomScale="110" zoomScaleNormal="110" workbookViewId="0">
      <pane xSplit="1" ySplit="4" topLeftCell="AF231" activePane="bottomRight" state="frozen"/>
      <selection activeCell="C50" sqref="C50"/>
      <selection pane="topRight" activeCell="C50" sqref="C50"/>
      <selection pane="bottomLeft" activeCell="C50" sqref="C50"/>
      <selection pane="bottomRight" activeCell="AS236" sqref="AS236"/>
    </sheetView>
  </sheetViews>
  <sheetFormatPr defaultColWidth="9.109375" defaultRowHeight="11.4" x14ac:dyDescent="0.2"/>
  <cols>
    <col min="1" max="1" width="6.44140625" style="1" customWidth="1"/>
    <col min="2" max="2" width="13.109375" style="1" customWidth="1"/>
    <col min="3" max="3" width="10.5546875" style="1" customWidth="1"/>
    <col min="4" max="4" width="16.6640625" style="1" customWidth="1"/>
    <col min="5" max="5" width="11.88671875" style="1" customWidth="1"/>
    <col min="6" max="6" width="14.33203125" style="1" customWidth="1"/>
    <col min="7" max="8" width="10.33203125" style="1" customWidth="1"/>
    <col min="9" max="10" width="10.88671875" style="1" customWidth="1"/>
    <col min="11" max="11" width="14" style="1" customWidth="1"/>
    <col min="12" max="12" width="10.88671875" style="1" customWidth="1"/>
    <col min="13" max="13" width="11" style="1" bestFit="1" customWidth="1"/>
    <col min="14" max="14" width="11.6640625" style="1" customWidth="1"/>
    <col min="15" max="15" width="11" style="1" bestFit="1" customWidth="1"/>
    <col min="16" max="16" width="11" style="1" customWidth="1"/>
    <col min="17" max="17" width="11.44140625" style="1" customWidth="1"/>
    <col min="18" max="19" width="12.5546875" style="1" customWidth="1"/>
    <col min="20" max="21" width="9.6640625" style="1" customWidth="1"/>
    <col min="22" max="22" width="9.109375" style="1" customWidth="1"/>
    <col min="23" max="27" width="9.109375" style="1"/>
    <col min="28" max="28" width="0" style="1" hidden="1" customWidth="1"/>
    <col min="29" max="29" width="11.33203125" style="1" customWidth="1"/>
    <col min="30" max="30" width="12.33203125" style="1" customWidth="1"/>
    <col min="31" max="31" width="13" style="1" customWidth="1"/>
    <col min="32" max="32" width="12.109375" style="1" customWidth="1"/>
    <col min="33" max="36" width="0" style="1" hidden="1" customWidth="1"/>
    <col min="37" max="37" width="9.109375" style="1"/>
    <col min="38" max="39" width="10.33203125" style="1" customWidth="1"/>
    <col min="40" max="40" width="9.109375" style="1"/>
    <col min="41" max="41" width="10" style="1" customWidth="1"/>
    <col min="42" max="42" width="10.109375" style="1" customWidth="1"/>
    <col min="43" max="43" width="9.109375" style="1"/>
    <col min="44" max="44" width="11.44140625" style="1" customWidth="1"/>
    <col min="45" max="45" width="13.33203125" style="1" customWidth="1"/>
    <col min="46" max="46" width="16.88671875" style="1" customWidth="1"/>
    <col min="47" max="47" width="11.6640625" style="1" hidden="1" customWidth="1"/>
    <col min="48" max="48" width="9.88671875" style="1" hidden="1" customWidth="1"/>
    <col min="49" max="49" width="9.6640625" style="1" hidden="1" customWidth="1"/>
    <col min="50" max="50" width="9" style="1" hidden="1" customWidth="1"/>
    <col min="51" max="51" width="13.5546875" style="1" hidden="1" customWidth="1"/>
    <col min="52" max="52" width="6.109375" style="1" hidden="1" customWidth="1"/>
    <col min="53" max="53" width="6.88671875" style="1" hidden="1" customWidth="1"/>
    <col min="54" max="54" width="11.109375" style="1" hidden="1" customWidth="1"/>
    <col min="55" max="55" width="9.6640625" style="1" hidden="1" customWidth="1"/>
    <col min="56" max="56" width="4.44140625" style="1" hidden="1" customWidth="1"/>
    <col min="57" max="57" width="6" style="1" hidden="1" customWidth="1"/>
    <col min="58" max="58" width="5.6640625" style="1" hidden="1" customWidth="1"/>
    <col min="59" max="59" width="9" style="1" hidden="1" customWidth="1"/>
    <col min="60" max="60" width="5" style="1" hidden="1" customWidth="1"/>
    <col min="61" max="61" width="14" style="1" customWidth="1"/>
    <col min="62" max="62" width="23.109375" style="1" customWidth="1"/>
    <col min="63" max="63" width="17.44140625" style="1" customWidth="1"/>
    <col min="64" max="64" width="10.6640625" style="1" customWidth="1"/>
    <col min="65" max="65" width="11.33203125" style="1" customWidth="1"/>
    <col min="66" max="66" width="12" style="1" customWidth="1"/>
    <col min="67" max="16384" width="9.109375" style="1"/>
  </cols>
  <sheetData>
    <row r="1" spans="1:94" x14ac:dyDescent="0.2">
      <c r="A1" s="1">
        <v>1</v>
      </c>
      <c r="B1" s="1">
        <v>2</v>
      </c>
      <c r="C1" s="1" t="s">
        <v>136</v>
      </c>
      <c r="D1" s="1">
        <v>3</v>
      </c>
      <c r="G1" s="1">
        <v>4</v>
      </c>
      <c r="M1" s="1">
        <v>5</v>
      </c>
      <c r="N1" s="1">
        <v>6</v>
      </c>
      <c r="O1" s="1">
        <v>7</v>
      </c>
      <c r="AV1" s="289" t="s">
        <v>96</v>
      </c>
      <c r="AW1" s="289"/>
      <c r="AX1" s="289"/>
      <c r="AY1" s="289"/>
      <c r="AZ1" s="120"/>
      <c r="BA1" s="120"/>
      <c r="BB1" s="120"/>
    </row>
    <row r="2" spans="1:94" ht="43.5" customHeight="1" x14ac:dyDescent="0.25">
      <c r="A2" s="14"/>
      <c r="B2" s="272" t="s">
        <v>147</v>
      </c>
      <c r="C2" s="273"/>
      <c r="D2" s="273"/>
      <c r="E2" s="273"/>
      <c r="F2" s="274"/>
      <c r="G2" s="275" t="s">
        <v>148</v>
      </c>
      <c r="H2" s="276"/>
      <c r="I2" s="276"/>
      <c r="J2" s="276"/>
      <c r="K2" s="276"/>
      <c r="L2" s="277"/>
      <c r="M2" s="273" t="s">
        <v>149</v>
      </c>
      <c r="N2" s="273"/>
      <c r="O2" s="274"/>
      <c r="P2" s="290" t="s">
        <v>150</v>
      </c>
      <c r="Q2" s="291"/>
      <c r="R2" s="291"/>
      <c r="S2" s="291"/>
      <c r="T2" s="291"/>
      <c r="U2" s="291"/>
      <c r="V2" s="292"/>
      <c r="W2" s="272" t="s">
        <v>151</v>
      </c>
      <c r="X2" s="273"/>
      <c r="Y2" s="273"/>
      <c r="Z2" s="273"/>
      <c r="AA2" s="273"/>
      <c r="AB2" s="273"/>
      <c r="AC2" s="273"/>
      <c r="AD2" s="273"/>
      <c r="AE2" s="273"/>
      <c r="AF2" s="274"/>
      <c r="AK2" s="278" t="s">
        <v>139</v>
      </c>
      <c r="AL2" s="279"/>
      <c r="AM2" s="279"/>
      <c r="AN2" s="280"/>
      <c r="AO2" s="281" t="s">
        <v>152</v>
      </c>
      <c r="AP2" s="282"/>
      <c r="AQ2" s="257" t="s">
        <v>153</v>
      </c>
      <c r="AR2" s="283" t="s">
        <v>154</v>
      </c>
      <c r="AS2" s="284"/>
      <c r="AT2" s="285"/>
      <c r="AV2" s="1" t="s">
        <v>98</v>
      </c>
      <c r="AW2" s="1" t="s">
        <v>97</v>
      </c>
      <c r="AX2" s="1" t="s">
        <v>101</v>
      </c>
      <c r="AY2" s="1" t="s">
        <v>100</v>
      </c>
      <c r="AZ2" s="1" t="s">
        <v>105</v>
      </c>
    </row>
    <row r="3" spans="1:94" s="3" customFormat="1" ht="55.5" customHeight="1" x14ac:dyDescent="0.25">
      <c r="A3" s="102"/>
      <c r="B3" s="2" t="s">
        <v>1</v>
      </c>
      <c r="C3" s="2" t="s">
        <v>112</v>
      </c>
      <c r="D3" s="2" t="s">
        <v>113</v>
      </c>
      <c r="E3" s="2" t="s">
        <v>114</v>
      </c>
      <c r="F3" s="2" t="s">
        <v>115</v>
      </c>
      <c r="G3" s="123" t="s">
        <v>2</v>
      </c>
      <c r="H3" s="195" t="s">
        <v>126</v>
      </c>
      <c r="I3" s="195" t="s">
        <v>127</v>
      </c>
      <c r="J3" s="195" t="s">
        <v>142</v>
      </c>
      <c r="K3" s="195" t="s">
        <v>144</v>
      </c>
      <c r="L3" s="195" t="s">
        <v>146</v>
      </c>
      <c r="M3" s="2" t="s">
        <v>3</v>
      </c>
      <c r="N3" s="103" t="s">
        <v>4</v>
      </c>
      <c r="O3" s="103" t="s">
        <v>5</v>
      </c>
      <c r="P3" s="213" t="s">
        <v>107</v>
      </c>
      <c r="Q3" s="210" t="s">
        <v>116</v>
      </c>
      <c r="R3" s="210" t="s">
        <v>117</v>
      </c>
      <c r="S3" s="210" t="s">
        <v>119</v>
      </c>
      <c r="T3" s="210" t="s">
        <v>118</v>
      </c>
      <c r="U3" s="210" t="s">
        <v>120</v>
      </c>
      <c r="V3" s="102" t="s">
        <v>6</v>
      </c>
      <c r="W3" s="211" t="s">
        <v>121</v>
      </c>
      <c r="X3" s="211" t="s">
        <v>122</v>
      </c>
      <c r="Y3" s="211" t="s">
        <v>123</v>
      </c>
      <c r="Z3" s="211" t="s">
        <v>124</v>
      </c>
      <c r="AA3" s="211" t="s">
        <v>125</v>
      </c>
      <c r="AB3" s="211"/>
      <c r="AC3" s="211" t="s">
        <v>128</v>
      </c>
      <c r="AD3" s="211" t="s">
        <v>135</v>
      </c>
      <c r="AE3" s="210" t="s">
        <v>108</v>
      </c>
      <c r="AF3" s="102" t="s">
        <v>6</v>
      </c>
      <c r="AK3" s="232" t="s">
        <v>143</v>
      </c>
      <c r="AL3" s="256" t="s">
        <v>137</v>
      </c>
      <c r="AM3" s="256" t="s">
        <v>145</v>
      </c>
      <c r="AN3" s="256" t="s">
        <v>138</v>
      </c>
      <c r="AO3" s="102" t="s">
        <v>106</v>
      </c>
      <c r="AP3" s="102" t="str">
        <f>AO3</f>
        <v>RWD</v>
      </c>
      <c r="AQ3" s="102" t="s">
        <v>78</v>
      </c>
      <c r="AR3" s="124" t="s">
        <v>102</v>
      </c>
      <c r="AS3" s="124" t="s">
        <v>103</v>
      </c>
      <c r="AT3" s="124" t="s">
        <v>141</v>
      </c>
      <c r="AU3" s="3" t="s">
        <v>104</v>
      </c>
      <c r="AV3" s="288" t="s">
        <v>99</v>
      </c>
      <c r="AW3" s="288"/>
      <c r="AX3" s="121"/>
      <c r="BK3" s="258" t="s">
        <v>129</v>
      </c>
      <c r="BL3" s="258" t="s">
        <v>130</v>
      </c>
      <c r="BM3" s="258" t="s">
        <v>131</v>
      </c>
      <c r="BN3" s="212"/>
    </row>
    <row r="4" spans="1:94" ht="13.2" x14ac:dyDescent="0.2">
      <c r="A4" s="14"/>
      <c r="B4" s="104" t="s">
        <v>7</v>
      </c>
      <c r="C4" s="104" t="s">
        <v>8</v>
      </c>
      <c r="D4" s="104" t="s">
        <v>9</v>
      </c>
      <c r="E4" s="104" t="s">
        <v>8</v>
      </c>
      <c r="F4" s="104" t="s">
        <v>9</v>
      </c>
      <c r="G4" s="105" t="s">
        <v>77</v>
      </c>
      <c r="H4" s="196" t="s">
        <v>77</v>
      </c>
      <c r="I4" s="196" t="s">
        <v>77</v>
      </c>
      <c r="J4" s="196" t="s">
        <v>77</v>
      </c>
      <c r="K4" s="196"/>
      <c r="L4" s="196"/>
      <c r="M4" s="105" t="s">
        <v>77</v>
      </c>
      <c r="N4" s="105" t="s">
        <v>77</v>
      </c>
      <c r="O4" s="105" t="s">
        <v>77</v>
      </c>
      <c r="P4" s="213">
        <f>Q4+R4+S4+T4+U4</f>
        <v>0</v>
      </c>
      <c r="Q4" s="181"/>
      <c r="R4" s="181"/>
      <c r="S4" s="181"/>
      <c r="T4" s="181"/>
      <c r="U4" s="181"/>
      <c r="V4" s="14"/>
      <c r="W4" s="187"/>
      <c r="X4" s="187"/>
      <c r="Y4" s="187"/>
      <c r="Z4" s="187"/>
      <c r="AA4" s="187"/>
      <c r="AB4" s="187"/>
      <c r="AC4" s="187"/>
      <c r="AD4" s="187"/>
      <c r="AE4" s="213">
        <f>SUM(AC4:AD4)</f>
        <v>0</v>
      </c>
      <c r="AF4" s="14"/>
      <c r="AK4" s="233" t="s">
        <v>77</v>
      </c>
      <c r="AL4" s="1" t="s">
        <v>77</v>
      </c>
      <c r="AM4" s="1" t="s">
        <v>77</v>
      </c>
      <c r="AN4" s="1" t="s">
        <v>77</v>
      </c>
      <c r="AO4" s="1" t="s">
        <v>77</v>
      </c>
      <c r="AP4" s="1" t="s">
        <v>140</v>
      </c>
      <c r="BD4" s="1">
        <v>4110</v>
      </c>
      <c r="BE4" s="1">
        <f>2410+BF4+BG4</f>
        <v>4820.6301369863013</v>
      </c>
      <c r="BF4" s="1">
        <f>243880/365</f>
        <v>668.16438356164383</v>
      </c>
      <c r="BG4" s="1">
        <f>636000/365</f>
        <v>1742.4657534246576</v>
      </c>
      <c r="BK4" s="14"/>
      <c r="BL4" s="14"/>
      <c r="BM4" s="1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</row>
    <row r="5" spans="1:94" x14ac:dyDescent="0.2">
      <c r="A5" s="106">
        <v>38718</v>
      </c>
      <c r="B5" s="107"/>
      <c r="C5" s="107"/>
      <c r="D5" s="108"/>
      <c r="E5" s="108"/>
      <c r="F5" s="108"/>
      <c r="G5" s="107"/>
      <c r="H5" s="197"/>
      <c r="I5" s="188"/>
      <c r="J5" s="188"/>
      <c r="K5" s="188"/>
      <c r="L5" s="188"/>
      <c r="M5" s="12">
        <f>[1]Sheet1!E6</f>
        <v>11763</v>
      </c>
      <c r="N5" s="148">
        <f>[1]Sheet1!C6</f>
        <v>18839</v>
      </c>
      <c r="O5" s="109"/>
      <c r="P5" s="213">
        <f t="shared" ref="P5:P68" si="0">Q5+R5+S5+T5+U5</f>
        <v>0</v>
      </c>
      <c r="Q5" s="181"/>
      <c r="R5" s="181"/>
      <c r="S5" s="181"/>
      <c r="T5" s="181"/>
      <c r="U5" s="181"/>
      <c r="V5" s="14"/>
      <c r="W5" s="187"/>
      <c r="X5" s="187"/>
      <c r="Y5" s="187"/>
      <c r="Z5" s="187"/>
      <c r="AA5" s="187"/>
      <c r="AB5" s="187"/>
      <c r="AC5" s="187"/>
      <c r="AD5" s="187"/>
      <c r="AE5" s="213">
        <f t="shared" ref="AE5:AE68" si="1">SUM(AC5:AD5)</f>
        <v>0</v>
      </c>
      <c r="AF5" s="14"/>
      <c r="AK5" s="233"/>
      <c r="AV5" s="14" t="e">
        <f>((G5+M5+N5)+(Q5+R5+T5+#REF!+AC5+AD5))/B5</f>
        <v>#REF!</v>
      </c>
      <c r="AW5" s="125" t="e">
        <f t="shared" ref="AW5:AW68" si="2">(M5+N5+G5)/B5</f>
        <v>#DIV/0!</v>
      </c>
      <c r="AX5" s="119"/>
      <c r="BK5" s="14"/>
      <c r="BL5" s="14"/>
      <c r="BM5" s="1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  <c r="CL5" s="134"/>
      <c r="CM5" s="134"/>
      <c r="CN5" s="134"/>
      <c r="CO5" s="134"/>
      <c r="CP5" s="134"/>
    </row>
    <row r="6" spans="1:94" x14ac:dyDescent="0.2">
      <c r="A6" s="106">
        <v>38749</v>
      </c>
      <c r="B6" s="107"/>
      <c r="C6" s="107"/>
      <c r="D6" s="108"/>
      <c r="E6" s="108"/>
      <c r="F6" s="108"/>
      <c r="G6" s="107"/>
      <c r="H6" s="197"/>
      <c r="I6" s="188"/>
      <c r="J6" s="188"/>
      <c r="K6" s="188"/>
      <c r="L6" s="188"/>
      <c r="M6" s="12">
        <f>[1]Sheet1!E7</f>
        <v>15000</v>
      </c>
      <c r="N6" s="148">
        <f>[1]Sheet1!C7</f>
        <v>13689</v>
      </c>
      <c r="O6" s="109"/>
      <c r="P6" s="213">
        <f t="shared" si="0"/>
        <v>0</v>
      </c>
      <c r="Q6" s="181"/>
      <c r="R6" s="181"/>
      <c r="S6" s="181"/>
      <c r="T6" s="181"/>
      <c r="U6" s="181"/>
      <c r="V6" s="14"/>
      <c r="W6" s="187"/>
      <c r="X6" s="187"/>
      <c r="Y6" s="187"/>
      <c r="Z6" s="187"/>
      <c r="AA6" s="187"/>
      <c r="AB6" s="187"/>
      <c r="AC6" s="187"/>
      <c r="AD6" s="187"/>
      <c r="AE6" s="213">
        <f t="shared" si="1"/>
        <v>0</v>
      </c>
      <c r="AF6" s="14"/>
      <c r="AK6" s="233"/>
      <c r="AV6" s="14" t="e">
        <f>((G6+M6+N6)+(Q6+R6+T6+#REF!+AC6+AD6))/B6</f>
        <v>#REF!</v>
      </c>
      <c r="AW6" s="125" t="e">
        <f t="shared" si="2"/>
        <v>#DIV/0!</v>
      </c>
      <c r="AX6" s="119"/>
      <c r="BK6" s="14"/>
      <c r="BL6" s="14"/>
      <c r="BM6" s="14"/>
      <c r="BZ6" s="134"/>
      <c r="CA6" s="134"/>
      <c r="CB6" s="134"/>
      <c r="CC6" s="134"/>
      <c r="CD6" s="134"/>
      <c r="CE6" s="134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</row>
    <row r="7" spans="1:94" x14ac:dyDescent="0.2">
      <c r="A7" s="106">
        <v>38777</v>
      </c>
      <c r="B7" s="107"/>
      <c r="C7" s="107"/>
      <c r="D7" s="108"/>
      <c r="E7" s="108"/>
      <c r="F7" s="108"/>
      <c r="G7" s="107"/>
      <c r="H7" s="197"/>
      <c r="I7" s="188"/>
      <c r="J7" s="188"/>
      <c r="K7" s="188"/>
      <c r="L7" s="188"/>
      <c r="M7" s="12">
        <f>[1]Sheet1!E8</f>
        <v>1278</v>
      </c>
      <c r="N7" s="148">
        <f>[1]Sheet1!C8</f>
        <v>14000</v>
      </c>
      <c r="O7" s="109"/>
      <c r="P7" s="213">
        <f t="shared" si="0"/>
        <v>0</v>
      </c>
      <c r="Q7" s="181"/>
      <c r="R7" s="181"/>
      <c r="S7" s="181"/>
      <c r="T7" s="181"/>
      <c r="U7" s="181"/>
      <c r="V7" s="14"/>
      <c r="W7" s="187"/>
      <c r="X7" s="187"/>
      <c r="Y7" s="187"/>
      <c r="Z7" s="187"/>
      <c r="AA7" s="187"/>
      <c r="AB7" s="187"/>
      <c r="AC7" s="187"/>
      <c r="AD7" s="187"/>
      <c r="AE7" s="213">
        <f t="shared" si="1"/>
        <v>0</v>
      </c>
      <c r="AF7" s="14"/>
      <c r="AK7" s="233"/>
      <c r="AV7" s="14" t="e">
        <f>((G7+M7+N7)+(Q7+R7+T7+#REF!+AC7+AD7))/B7</f>
        <v>#REF!</v>
      </c>
      <c r="AW7" s="125" t="e">
        <f t="shared" si="2"/>
        <v>#DIV/0!</v>
      </c>
      <c r="AX7" s="119"/>
      <c r="BK7" s="14"/>
      <c r="BL7" s="14"/>
      <c r="BM7" s="14"/>
    </row>
    <row r="8" spans="1:94" x14ac:dyDescent="0.2">
      <c r="A8" s="106">
        <v>38808</v>
      </c>
      <c r="B8" s="107"/>
      <c r="C8" s="107"/>
      <c r="D8" s="108"/>
      <c r="E8" s="108"/>
      <c r="F8" s="108"/>
      <c r="G8" s="107"/>
      <c r="H8" s="197"/>
      <c r="I8" s="188"/>
      <c r="J8" s="188"/>
      <c r="K8" s="188"/>
      <c r="L8" s="188"/>
      <c r="M8" s="12">
        <f>[1]Sheet1!E9</f>
        <v>1740</v>
      </c>
      <c r="N8" s="148">
        <f>[1]Sheet1!C9</f>
        <v>5261</v>
      </c>
      <c r="O8" s="109"/>
      <c r="P8" s="213">
        <f t="shared" si="0"/>
        <v>0</v>
      </c>
      <c r="Q8" s="181"/>
      <c r="R8" s="181"/>
      <c r="S8" s="181"/>
      <c r="T8" s="181"/>
      <c r="U8" s="181"/>
      <c r="V8" s="14"/>
      <c r="W8" s="187"/>
      <c r="X8" s="187"/>
      <c r="Y8" s="187"/>
      <c r="Z8" s="187"/>
      <c r="AA8" s="187"/>
      <c r="AB8" s="187"/>
      <c r="AC8" s="187"/>
      <c r="AD8" s="187"/>
      <c r="AE8" s="213">
        <f t="shared" si="1"/>
        <v>0</v>
      </c>
      <c r="AF8" s="14"/>
      <c r="AK8" s="233"/>
      <c r="AV8" s="14" t="e">
        <f>((G8+M8+N8)+(Q8+R8+T8+#REF!+AC8+AD8))/B8</f>
        <v>#REF!</v>
      </c>
      <c r="AW8" s="125" t="e">
        <f t="shared" si="2"/>
        <v>#DIV/0!</v>
      </c>
      <c r="AX8" s="119"/>
      <c r="BK8" s="14"/>
      <c r="BL8" s="14"/>
      <c r="BM8" s="14"/>
    </row>
    <row r="9" spans="1:94" x14ac:dyDescent="0.2">
      <c r="A9" s="106">
        <v>38838</v>
      </c>
      <c r="B9" s="107"/>
      <c r="C9" s="107"/>
      <c r="D9" s="108"/>
      <c r="E9" s="108"/>
      <c r="F9" s="108"/>
      <c r="G9" s="107"/>
      <c r="H9" s="197"/>
      <c r="I9" s="188"/>
      <c r="J9" s="188"/>
      <c r="K9" s="188"/>
      <c r="L9" s="188"/>
      <c r="M9" s="12">
        <f>[1]Sheet1!E10</f>
        <v>0</v>
      </c>
      <c r="N9" s="148">
        <f>[1]Sheet1!C10</f>
        <v>4217</v>
      </c>
      <c r="O9" s="109"/>
      <c r="P9" s="213">
        <f t="shared" si="0"/>
        <v>0</v>
      </c>
      <c r="Q9" s="181"/>
      <c r="R9" s="181"/>
      <c r="S9" s="181"/>
      <c r="T9" s="181"/>
      <c r="U9" s="181"/>
      <c r="V9" s="14"/>
      <c r="W9" s="187"/>
      <c r="X9" s="187"/>
      <c r="Y9" s="187"/>
      <c r="Z9" s="187"/>
      <c r="AA9" s="187"/>
      <c r="AB9" s="187"/>
      <c r="AC9" s="187"/>
      <c r="AD9" s="187"/>
      <c r="AE9" s="213">
        <f t="shared" si="1"/>
        <v>0</v>
      </c>
      <c r="AF9" s="14"/>
      <c r="AK9" s="233"/>
      <c r="AV9" s="14" t="e">
        <f>((G9+M9+N9)+(Q9+R9+T9+#REF!+AC9+AD9))/B9</f>
        <v>#REF!</v>
      </c>
      <c r="AW9" s="125" t="e">
        <f t="shared" si="2"/>
        <v>#DIV/0!</v>
      </c>
      <c r="AX9" s="119"/>
      <c r="BK9" s="14"/>
      <c r="BL9" s="14"/>
      <c r="BM9" s="14"/>
    </row>
    <row r="10" spans="1:94" x14ac:dyDescent="0.2">
      <c r="A10" s="106">
        <v>38869</v>
      </c>
      <c r="B10" s="107"/>
      <c r="C10" s="107"/>
      <c r="D10" s="108"/>
      <c r="E10" s="108"/>
      <c r="F10" s="108"/>
      <c r="G10" s="107"/>
      <c r="H10" s="197"/>
      <c r="I10" s="188"/>
      <c r="J10" s="188"/>
      <c r="K10" s="188"/>
      <c r="L10" s="188"/>
      <c r="M10" s="12">
        <f>[1]Sheet1!E11</f>
        <v>1714</v>
      </c>
      <c r="N10" s="148">
        <f>[1]Sheet1!C11</f>
        <v>3309</v>
      </c>
      <c r="O10" s="109"/>
      <c r="P10" s="213">
        <f t="shared" si="0"/>
        <v>0</v>
      </c>
      <c r="Q10" s="181"/>
      <c r="R10" s="181"/>
      <c r="S10" s="181"/>
      <c r="T10" s="181"/>
      <c r="U10" s="181"/>
      <c r="V10" s="14"/>
      <c r="W10" s="187"/>
      <c r="X10" s="187"/>
      <c r="Y10" s="187"/>
      <c r="Z10" s="187"/>
      <c r="AA10" s="187"/>
      <c r="AB10" s="187"/>
      <c r="AC10" s="187"/>
      <c r="AD10" s="187"/>
      <c r="AE10" s="213">
        <f t="shared" si="1"/>
        <v>0</v>
      </c>
      <c r="AF10" s="14"/>
      <c r="AK10" s="233"/>
      <c r="AV10" s="14" t="e">
        <f>((G10+M10+N10)+(Q10+R10+T10+#REF!+AC10+AD10))/B10</f>
        <v>#REF!</v>
      </c>
      <c r="AW10" s="125" t="e">
        <f t="shared" si="2"/>
        <v>#DIV/0!</v>
      </c>
      <c r="AX10" s="119"/>
      <c r="BK10" s="14"/>
      <c r="BL10" s="14"/>
      <c r="BM10" s="14"/>
    </row>
    <row r="11" spans="1:94" x14ac:dyDescent="0.2">
      <c r="A11" s="106">
        <v>38899</v>
      </c>
      <c r="B11" s="107"/>
      <c r="C11" s="107"/>
      <c r="D11" s="108"/>
      <c r="E11" s="108"/>
      <c r="F11" s="108"/>
      <c r="G11" s="107"/>
      <c r="H11" s="197"/>
      <c r="I11" s="188"/>
      <c r="J11" s="188"/>
      <c r="K11" s="188"/>
      <c r="L11" s="188"/>
      <c r="M11" s="12">
        <f>[1]Sheet1!E12</f>
        <v>35500</v>
      </c>
      <c r="N11" s="148">
        <f>[1]Sheet1!C12</f>
        <v>65000</v>
      </c>
      <c r="O11" s="109"/>
      <c r="P11" s="213">
        <f t="shared" si="0"/>
        <v>0</v>
      </c>
      <c r="Q11" s="181"/>
      <c r="R11" s="181"/>
      <c r="S11" s="181"/>
      <c r="T11" s="181"/>
      <c r="U11" s="181"/>
      <c r="V11" s="14"/>
      <c r="W11" s="187"/>
      <c r="X11" s="187"/>
      <c r="Y11" s="187"/>
      <c r="Z11" s="187"/>
      <c r="AA11" s="187"/>
      <c r="AB11" s="187"/>
      <c r="AC11" s="187"/>
      <c r="AD11" s="187"/>
      <c r="AE11" s="213">
        <f t="shared" si="1"/>
        <v>0</v>
      </c>
      <c r="AF11" s="14"/>
      <c r="AK11" s="233"/>
      <c r="AV11" s="14" t="e">
        <f>((G11+M11+N11)+(Q11+R11+T11+#REF!+AC11+AD11))/B11</f>
        <v>#REF!</v>
      </c>
      <c r="AW11" s="125" t="e">
        <f t="shared" si="2"/>
        <v>#DIV/0!</v>
      </c>
      <c r="AX11" s="119"/>
      <c r="BK11" s="14"/>
      <c r="BL11" s="14"/>
      <c r="BM11" s="14"/>
    </row>
    <row r="12" spans="1:94" x14ac:dyDescent="0.2">
      <c r="A12" s="106">
        <v>38930</v>
      </c>
      <c r="B12" s="12">
        <v>67857.705000000002</v>
      </c>
      <c r="C12" s="107"/>
      <c r="D12" s="108"/>
      <c r="E12" s="108"/>
      <c r="F12" s="108"/>
      <c r="G12" s="107"/>
      <c r="H12" s="197"/>
      <c r="I12" s="188"/>
      <c r="J12" s="188"/>
      <c r="K12" s="188"/>
      <c r="L12" s="188"/>
      <c r="M12" s="12">
        <f>[1]Sheet1!E13</f>
        <v>125022</v>
      </c>
      <c r="N12" s="148">
        <f>[1]Sheet1!C13</f>
        <v>105499</v>
      </c>
      <c r="O12" s="109"/>
      <c r="P12" s="213">
        <f t="shared" si="0"/>
        <v>0</v>
      </c>
      <c r="Q12" s="181"/>
      <c r="R12" s="181"/>
      <c r="S12" s="181"/>
      <c r="T12" s="181"/>
      <c r="U12" s="181"/>
      <c r="V12" s="14"/>
      <c r="W12" s="187"/>
      <c r="X12" s="187"/>
      <c r="Y12" s="187"/>
      <c r="Z12" s="187"/>
      <c r="AA12" s="187"/>
      <c r="AB12" s="187"/>
      <c r="AC12" s="187"/>
      <c r="AD12" s="187"/>
      <c r="AE12" s="213">
        <f t="shared" si="1"/>
        <v>0</v>
      </c>
      <c r="AF12" s="14"/>
      <c r="AK12" s="233"/>
      <c r="AV12" s="125" t="e">
        <f>(G12+M12+N12+#REF!+AE12)/B12</f>
        <v>#REF!</v>
      </c>
      <c r="AW12" s="125">
        <f t="shared" si="2"/>
        <v>3.3971234364616367</v>
      </c>
      <c r="AX12" s="119"/>
      <c r="BK12" s="14"/>
      <c r="BL12" s="14"/>
      <c r="BM12" s="14"/>
    </row>
    <row r="13" spans="1:94" x14ac:dyDescent="0.2">
      <c r="A13" s="106">
        <v>38961</v>
      </c>
      <c r="B13" s="12">
        <v>88598.07</v>
      </c>
      <c r="C13" s="107"/>
      <c r="D13" s="108"/>
      <c r="E13" s="108"/>
      <c r="F13" s="108"/>
      <c r="G13" s="107"/>
      <c r="H13" s="197"/>
      <c r="I13" s="188"/>
      <c r="J13" s="188"/>
      <c r="K13" s="188"/>
      <c r="L13" s="188"/>
      <c r="M13" s="12">
        <f>[1]Sheet1!E14</f>
        <v>92128</v>
      </c>
      <c r="N13" s="148">
        <f>[1]Sheet1!C14</f>
        <v>82198</v>
      </c>
      <c r="O13" s="109"/>
      <c r="P13" s="213">
        <f t="shared" si="0"/>
        <v>0</v>
      </c>
      <c r="Q13" s="181"/>
      <c r="R13" s="181"/>
      <c r="S13" s="181"/>
      <c r="T13" s="181"/>
      <c r="U13" s="181"/>
      <c r="V13" s="14"/>
      <c r="W13" s="187"/>
      <c r="X13" s="187"/>
      <c r="Y13" s="187"/>
      <c r="Z13" s="187"/>
      <c r="AA13" s="187"/>
      <c r="AB13" s="187"/>
      <c r="AC13" s="187"/>
      <c r="AD13" s="187"/>
      <c r="AE13" s="213">
        <f t="shared" si="1"/>
        <v>0</v>
      </c>
      <c r="AF13" s="14"/>
      <c r="AK13" s="233"/>
      <c r="AV13" s="125" t="e">
        <f>(G13+M13+N13+#REF!+AE13)/B13</f>
        <v>#REF!</v>
      </c>
      <c r="AW13" s="125">
        <f t="shared" si="2"/>
        <v>1.9676049376696354</v>
      </c>
      <c r="AX13" s="119"/>
      <c r="BK13" s="14"/>
      <c r="BL13" s="14"/>
      <c r="BM13" s="14"/>
    </row>
    <row r="14" spans="1:94" x14ac:dyDescent="0.2">
      <c r="A14" s="106">
        <v>38991</v>
      </c>
      <c r="B14" s="12">
        <v>200726.86499999999</v>
      </c>
      <c r="C14" s="107"/>
      <c r="D14" s="108"/>
      <c r="E14" s="108"/>
      <c r="F14" s="108"/>
      <c r="G14" s="107"/>
      <c r="H14" s="197"/>
      <c r="I14" s="188"/>
      <c r="J14" s="188"/>
      <c r="K14" s="188"/>
      <c r="L14" s="188"/>
      <c r="M14" s="12">
        <f>[1]Sheet1!E15</f>
        <v>72817</v>
      </c>
      <c r="N14" s="148">
        <f>[1]Sheet1!C15</f>
        <v>115690</v>
      </c>
      <c r="O14" s="109"/>
      <c r="P14" s="213">
        <f t="shared" si="0"/>
        <v>0</v>
      </c>
      <c r="Q14" s="181"/>
      <c r="R14" s="181"/>
      <c r="S14" s="181"/>
      <c r="T14" s="181"/>
      <c r="U14" s="181"/>
      <c r="V14" s="14"/>
      <c r="W14" s="187"/>
      <c r="X14" s="187"/>
      <c r="Y14" s="187"/>
      <c r="Z14" s="187"/>
      <c r="AA14" s="187"/>
      <c r="AB14" s="187"/>
      <c r="AC14" s="187"/>
      <c r="AD14" s="187"/>
      <c r="AE14" s="213">
        <f t="shared" si="1"/>
        <v>0</v>
      </c>
      <c r="AF14" s="14"/>
      <c r="AK14" s="233"/>
      <c r="AV14" s="125" t="e">
        <f>(G14+M14+N14+#REF!+AE14)/B14</f>
        <v>#REF!</v>
      </c>
      <c r="AW14" s="125">
        <f t="shared" si="2"/>
        <v>0.93912192570735364</v>
      </c>
      <c r="AX14" s="119"/>
      <c r="BK14" s="14"/>
      <c r="BL14" s="14"/>
      <c r="BM14" s="14"/>
    </row>
    <row r="15" spans="1:94" x14ac:dyDescent="0.2">
      <c r="A15" s="106">
        <v>39022</v>
      </c>
      <c r="B15" s="12">
        <v>190004.26499999998</v>
      </c>
      <c r="C15" s="107"/>
      <c r="D15" s="108"/>
      <c r="E15" s="108"/>
      <c r="F15" s="108"/>
      <c r="G15" s="107"/>
      <c r="H15" s="197"/>
      <c r="I15" s="188"/>
      <c r="J15" s="188"/>
      <c r="K15" s="188"/>
      <c r="L15" s="188"/>
      <c r="M15" s="12">
        <f>[1]Sheet1!E16</f>
        <v>40186</v>
      </c>
      <c r="N15" s="148">
        <f>[1]Sheet1!C16</f>
        <v>64515</v>
      </c>
      <c r="O15" s="109"/>
      <c r="P15" s="213">
        <f t="shared" si="0"/>
        <v>0</v>
      </c>
      <c r="Q15" s="181"/>
      <c r="R15" s="181"/>
      <c r="S15" s="181"/>
      <c r="T15" s="181"/>
      <c r="U15" s="181"/>
      <c r="V15" s="14"/>
      <c r="W15" s="187"/>
      <c r="X15" s="187"/>
      <c r="Y15" s="187"/>
      <c r="Z15" s="187"/>
      <c r="AA15" s="187"/>
      <c r="AB15" s="187"/>
      <c r="AC15" s="187"/>
      <c r="AD15" s="187"/>
      <c r="AE15" s="213">
        <f t="shared" si="1"/>
        <v>0</v>
      </c>
      <c r="AF15" s="14"/>
      <c r="AK15" s="233"/>
      <c r="AV15" s="125" t="e">
        <f>(G15+M15+N15+#REF!+AE15)/B15</f>
        <v>#REF!</v>
      </c>
      <c r="AW15" s="125">
        <f t="shared" si="2"/>
        <v>0.55104552521492089</v>
      </c>
      <c r="AX15" s="119"/>
      <c r="BK15" s="14"/>
      <c r="BL15" s="14"/>
      <c r="BM15" s="14"/>
    </row>
    <row r="16" spans="1:94" x14ac:dyDescent="0.2">
      <c r="A16" s="106">
        <v>39052</v>
      </c>
      <c r="B16" s="12">
        <v>225395.05499999999</v>
      </c>
      <c r="C16" s="107"/>
      <c r="D16" s="108"/>
      <c r="E16" s="108"/>
      <c r="F16" s="108"/>
      <c r="G16" s="107"/>
      <c r="H16" s="197"/>
      <c r="I16" s="188"/>
      <c r="J16" s="188"/>
      <c r="K16" s="188"/>
      <c r="L16" s="188"/>
      <c r="M16" s="12">
        <f>[1]Sheet1!E17</f>
        <v>12569</v>
      </c>
      <c r="N16" s="148">
        <f>[1]Sheet1!C17</f>
        <v>33406</v>
      </c>
      <c r="O16" s="109"/>
      <c r="P16" s="213">
        <f t="shared" si="0"/>
        <v>0</v>
      </c>
      <c r="Q16" s="181"/>
      <c r="R16" s="181"/>
      <c r="S16" s="181"/>
      <c r="T16" s="181"/>
      <c r="U16" s="181"/>
      <c r="V16" s="14"/>
      <c r="W16" s="187"/>
      <c r="X16" s="187"/>
      <c r="Y16" s="187"/>
      <c r="Z16" s="187"/>
      <c r="AA16" s="187"/>
      <c r="AB16" s="187"/>
      <c r="AC16" s="187"/>
      <c r="AD16" s="187"/>
      <c r="AE16" s="213">
        <f t="shared" si="1"/>
        <v>0</v>
      </c>
      <c r="AF16" s="14"/>
      <c r="AK16" s="233"/>
      <c r="AV16" s="125" t="e">
        <f>(G16+M16+N16+#REF!+AE16)/B16</f>
        <v>#REF!</v>
      </c>
      <c r="AW16" s="125">
        <f t="shared" si="2"/>
        <v>0.20397519368825551</v>
      </c>
      <c r="AX16" s="119"/>
      <c r="BK16" s="14"/>
      <c r="BL16" s="14"/>
      <c r="BM16" s="14"/>
    </row>
    <row r="17" spans="1:65" x14ac:dyDescent="0.2">
      <c r="A17" s="106">
        <v>39083</v>
      </c>
      <c r="B17" s="12">
        <v>191477.07</v>
      </c>
      <c r="C17" s="107"/>
      <c r="D17" s="108"/>
      <c r="E17" s="108"/>
      <c r="F17" s="108"/>
      <c r="G17" s="107"/>
      <c r="H17" s="197"/>
      <c r="I17" s="188"/>
      <c r="J17" s="188"/>
      <c r="K17" s="188"/>
      <c r="L17" s="188"/>
      <c r="M17" s="12">
        <f>[1]Sheet1!E18</f>
        <v>17209</v>
      </c>
      <c r="N17" s="148">
        <f>[1]Sheet1!C18</f>
        <v>80624</v>
      </c>
      <c r="O17" s="109"/>
      <c r="P17" s="213">
        <f t="shared" si="0"/>
        <v>0</v>
      </c>
      <c r="Q17" s="181"/>
      <c r="R17" s="181"/>
      <c r="S17" s="181"/>
      <c r="T17" s="181"/>
      <c r="U17" s="181"/>
      <c r="V17" s="14"/>
      <c r="W17" s="187"/>
      <c r="X17" s="187"/>
      <c r="Y17" s="187"/>
      <c r="Z17" s="187"/>
      <c r="AA17" s="187"/>
      <c r="AB17" s="187"/>
      <c r="AC17" s="187"/>
      <c r="AD17" s="187"/>
      <c r="AE17" s="213">
        <f t="shared" si="1"/>
        <v>0</v>
      </c>
      <c r="AF17" s="14"/>
      <c r="AK17" s="233"/>
      <c r="AV17" s="125" t="e">
        <f>(G17+M17+N17+#REF!+AE17)/B17</f>
        <v>#REF!</v>
      </c>
      <c r="AW17" s="125">
        <f t="shared" si="2"/>
        <v>0.51093846380665842</v>
      </c>
      <c r="AX17" s="119"/>
      <c r="BK17" s="14"/>
      <c r="BL17" s="14"/>
      <c r="BM17" s="14"/>
    </row>
    <row r="18" spans="1:65" x14ac:dyDescent="0.2">
      <c r="A18" s="106">
        <v>39114</v>
      </c>
      <c r="B18" s="12">
        <v>208051</v>
      </c>
      <c r="C18" s="5">
        <v>2990</v>
      </c>
      <c r="D18" s="7">
        <v>20.71</v>
      </c>
      <c r="E18" s="7"/>
      <c r="F18" s="7"/>
      <c r="G18" s="160">
        <v>671</v>
      </c>
      <c r="H18" s="194"/>
      <c r="I18" s="198"/>
      <c r="J18" s="198"/>
      <c r="K18" s="198"/>
      <c r="L18" s="198"/>
      <c r="M18" s="5">
        <v>12817</v>
      </c>
      <c r="N18" s="143">
        <v>71258</v>
      </c>
      <c r="O18" s="6">
        <v>2073</v>
      </c>
      <c r="P18" s="213">
        <f t="shared" si="0"/>
        <v>0</v>
      </c>
      <c r="Q18" s="181"/>
      <c r="R18" s="181"/>
      <c r="S18" s="181"/>
      <c r="T18" s="181"/>
      <c r="U18" s="181"/>
      <c r="V18" s="14"/>
      <c r="W18" s="187"/>
      <c r="X18" s="187"/>
      <c r="Y18" s="187"/>
      <c r="Z18" s="187"/>
      <c r="AA18" s="187"/>
      <c r="AB18" s="187"/>
      <c r="AC18" s="187"/>
      <c r="AD18" s="187"/>
      <c r="AE18" s="213">
        <f t="shared" si="1"/>
        <v>0</v>
      </c>
      <c r="AF18" s="14"/>
      <c r="AK18" s="233"/>
      <c r="AV18" s="125" t="e">
        <f>(G18+M18+N18+#REF!+AE18)/B18</f>
        <v>#REF!</v>
      </c>
      <c r="AW18" s="125">
        <f t="shared" si="2"/>
        <v>0.40733281743418681</v>
      </c>
      <c r="AX18" s="119"/>
      <c r="BK18" s="14"/>
      <c r="BL18" s="14"/>
      <c r="BM18" s="14"/>
    </row>
    <row r="19" spans="1:65" x14ac:dyDescent="0.2">
      <c r="A19" s="106">
        <v>39142</v>
      </c>
      <c r="B19" s="12">
        <v>220769</v>
      </c>
      <c r="C19" s="5">
        <v>2911.25</v>
      </c>
      <c r="D19" s="7">
        <v>19.190000000000001</v>
      </c>
      <c r="E19" s="7"/>
      <c r="F19" s="7"/>
      <c r="G19" s="161">
        <v>1009</v>
      </c>
      <c r="H19" s="194"/>
      <c r="I19" s="198"/>
      <c r="J19" s="198"/>
      <c r="K19" s="198"/>
      <c r="L19" s="198"/>
      <c r="M19" s="5">
        <v>38288</v>
      </c>
      <c r="N19" s="143">
        <v>52201</v>
      </c>
      <c r="O19" s="6">
        <v>2503</v>
      </c>
      <c r="P19" s="213">
        <f t="shared" si="0"/>
        <v>0</v>
      </c>
      <c r="Q19" s="181"/>
      <c r="R19" s="181"/>
      <c r="S19" s="181"/>
      <c r="T19" s="181"/>
      <c r="U19" s="181"/>
      <c r="V19" s="14"/>
      <c r="W19" s="187"/>
      <c r="X19" s="187"/>
      <c r="Y19" s="187"/>
      <c r="Z19" s="187"/>
      <c r="AA19" s="187"/>
      <c r="AB19" s="187"/>
      <c r="AC19" s="187"/>
      <c r="AD19" s="187"/>
      <c r="AE19" s="213">
        <f t="shared" si="1"/>
        <v>0</v>
      </c>
      <c r="AF19" s="14"/>
      <c r="AK19" s="233"/>
      <c r="AV19" s="125" t="e">
        <f>(G19+M19+N19+#REF!+AE19)/B19</f>
        <v>#REF!</v>
      </c>
      <c r="AW19" s="125">
        <f t="shared" si="2"/>
        <v>0.41445130430449928</v>
      </c>
      <c r="AX19" s="119"/>
      <c r="BK19" s="14"/>
      <c r="BL19" s="14"/>
      <c r="BM19" s="14"/>
    </row>
    <row r="20" spans="1:65" x14ac:dyDescent="0.2">
      <c r="A20" s="106">
        <v>39173</v>
      </c>
      <c r="B20" s="12">
        <v>206903</v>
      </c>
      <c r="C20" s="5">
        <v>5265.3</v>
      </c>
      <c r="D20" s="7">
        <v>18.03</v>
      </c>
      <c r="E20" s="7"/>
      <c r="F20" s="7"/>
      <c r="G20" s="161">
        <v>1778</v>
      </c>
      <c r="H20" s="194"/>
      <c r="I20" s="198"/>
      <c r="J20" s="198"/>
      <c r="K20" s="198"/>
      <c r="L20" s="198"/>
      <c r="M20" s="5">
        <v>46133</v>
      </c>
      <c r="N20" s="143">
        <v>38087</v>
      </c>
      <c r="O20" s="6">
        <v>0</v>
      </c>
      <c r="P20" s="213">
        <f t="shared" si="0"/>
        <v>0</v>
      </c>
      <c r="Q20" s="181"/>
      <c r="R20" s="181"/>
      <c r="S20" s="181"/>
      <c r="T20" s="181"/>
      <c r="U20" s="181"/>
      <c r="V20" s="14"/>
      <c r="W20" s="187"/>
      <c r="X20" s="187"/>
      <c r="Y20" s="187"/>
      <c r="Z20" s="187"/>
      <c r="AA20" s="187"/>
      <c r="AB20" s="187"/>
      <c r="AC20" s="187"/>
      <c r="AD20" s="187"/>
      <c r="AE20" s="213">
        <f t="shared" si="1"/>
        <v>0</v>
      </c>
      <c r="AF20" s="14"/>
      <c r="AK20" s="233"/>
      <c r="AV20" s="125" t="e">
        <f>(G20+M20+N20+#REF!+AE20)/B20</f>
        <v>#REF!</v>
      </c>
      <c r="AW20" s="125">
        <f t="shared" si="2"/>
        <v>0.41564404576057379</v>
      </c>
      <c r="AX20" s="119"/>
      <c r="BK20" s="14"/>
      <c r="BL20" s="14"/>
      <c r="BM20" s="14"/>
    </row>
    <row r="21" spans="1:65" x14ac:dyDescent="0.2">
      <c r="A21" s="106">
        <v>39203</v>
      </c>
      <c r="B21" s="12">
        <v>181204</v>
      </c>
      <c r="C21" s="5">
        <v>2943.4</v>
      </c>
      <c r="D21" s="7">
        <v>15.88</v>
      </c>
      <c r="E21" s="7"/>
      <c r="F21" s="7"/>
      <c r="G21" s="161">
        <v>695</v>
      </c>
      <c r="H21" s="194"/>
      <c r="I21" s="198"/>
      <c r="J21" s="198"/>
      <c r="K21" s="198"/>
      <c r="L21" s="198"/>
      <c r="M21" s="5">
        <v>43429</v>
      </c>
      <c r="N21" s="143">
        <v>24247</v>
      </c>
      <c r="O21" s="5">
        <v>19408</v>
      </c>
      <c r="P21" s="213">
        <f t="shared" si="0"/>
        <v>0</v>
      </c>
      <c r="Q21" s="181"/>
      <c r="R21" s="181"/>
      <c r="S21" s="181"/>
      <c r="T21" s="181"/>
      <c r="U21" s="181"/>
      <c r="V21" s="14"/>
      <c r="W21" s="187"/>
      <c r="X21" s="187"/>
      <c r="Y21" s="187"/>
      <c r="Z21" s="187"/>
      <c r="AA21" s="187"/>
      <c r="AB21" s="187"/>
      <c r="AC21" s="187"/>
      <c r="AD21" s="187"/>
      <c r="AE21" s="213">
        <f t="shared" si="1"/>
        <v>0</v>
      </c>
      <c r="AF21" s="14"/>
      <c r="AK21" s="233"/>
      <c r="AV21" s="125">
        <f t="shared" ref="AV21:AV84" si="3">(G21+M21+N21+P21+AE21)/B21</f>
        <v>0.37731507030749872</v>
      </c>
      <c r="AW21" s="125">
        <f t="shared" si="2"/>
        <v>0.37731507030749872</v>
      </c>
      <c r="AX21" s="119"/>
      <c r="BK21" s="14"/>
      <c r="BL21" s="14"/>
      <c r="BM21" s="14"/>
    </row>
    <row r="22" spans="1:65" x14ac:dyDescent="0.2">
      <c r="A22" s="106">
        <v>39234</v>
      </c>
      <c r="B22" s="12">
        <v>295280</v>
      </c>
      <c r="C22" s="5">
        <v>4895.7</v>
      </c>
      <c r="D22" s="7">
        <v>16.79</v>
      </c>
      <c r="E22" s="7"/>
      <c r="F22" s="7"/>
      <c r="G22" s="161">
        <v>1026</v>
      </c>
      <c r="H22" s="194"/>
      <c r="I22" s="198"/>
      <c r="J22" s="198"/>
      <c r="K22" s="198"/>
      <c r="L22" s="198"/>
      <c r="M22" s="5">
        <v>66168</v>
      </c>
      <c r="N22" s="143">
        <v>68270</v>
      </c>
      <c r="O22" s="5">
        <v>16853</v>
      </c>
      <c r="P22" s="213">
        <f t="shared" si="0"/>
        <v>0</v>
      </c>
      <c r="Q22" s="181"/>
      <c r="R22" s="181"/>
      <c r="S22" s="181"/>
      <c r="T22" s="181"/>
      <c r="U22" s="181"/>
      <c r="V22" s="14"/>
      <c r="W22" s="187"/>
      <c r="X22" s="187"/>
      <c r="Y22" s="187"/>
      <c r="Z22" s="187"/>
      <c r="AA22" s="187"/>
      <c r="AB22" s="187"/>
      <c r="AC22" s="187"/>
      <c r="AD22" s="187"/>
      <c r="AE22" s="213">
        <f t="shared" si="1"/>
        <v>0</v>
      </c>
      <c r="AF22" s="14"/>
      <c r="AK22" s="233"/>
      <c r="AV22" s="125">
        <f t="shared" si="3"/>
        <v>0.45876456244920077</v>
      </c>
      <c r="AW22" s="125">
        <f t="shared" si="2"/>
        <v>0.45876456244920077</v>
      </c>
      <c r="AX22" s="119"/>
      <c r="BK22" s="14"/>
      <c r="BL22" s="14"/>
      <c r="BM22" s="14"/>
    </row>
    <row r="23" spans="1:65" x14ac:dyDescent="0.2">
      <c r="A23" s="106">
        <v>39264</v>
      </c>
      <c r="B23" s="12">
        <v>206768</v>
      </c>
      <c r="C23" s="5">
        <f>3514</f>
        <v>3514</v>
      </c>
      <c r="D23" s="7">
        <v>18.37</v>
      </c>
      <c r="E23" s="7"/>
      <c r="F23" s="7"/>
      <c r="G23" s="161">
        <v>1019</v>
      </c>
      <c r="H23" s="194"/>
      <c r="I23" s="198"/>
      <c r="J23" s="198"/>
      <c r="K23" s="198"/>
      <c r="L23" s="198"/>
      <c r="M23" s="5">
        <v>58789</v>
      </c>
      <c r="N23" s="143">
        <v>35975</v>
      </c>
      <c r="O23" s="5">
        <v>9004</v>
      </c>
      <c r="P23" s="213">
        <f t="shared" si="0"/>
        <v>0</v>
      </c>
      <c r="Q23" s="181"/>
      <c r="R23" s="181"/>
      <c r="S23" s="181"/>
      <c r="T23" s="181"/>
      <c r="U23" s="181"/>
      <c r="V23" s="14"/>
      <c r="W23" s="187"/>
      <c r="X23" s="187"/>
      <c r="Y23" s="187"/>
      <c r="Z23" s="187"/>
      <c r="AA23" s="187"/>
      <c r="AB23" s="187"/>
      <c r="AC23" s="187"/>
      <c r="AD23" s="187"/>
      <c r="AE23" s="213">
        <f t="shared" si="1"/>
        <v>0</v>
      </c>
      <c r="AF23" s="14"/>
      <c r="AK23" s="233"/>
      <c r="AV23" s="125">
        <f t="shared" si="3"/>
        <v>0.46323899249400297</v>
      </c>
      <c r="AW23" s="125">
        <f t="shared" si="2"/>
        <v>0.46323899249400297</v>
      </c>
      <c r="AX23" s="119"/>
      <c r="BK23" s="14"/>
      <c r="BL23" s="14"/>
      <c r="BM23" s="14"/>
    </row>
    <row r="24" spans="1:65" x14ac:dyDescent="0.2">
      <c r="A24" s="106">
        <v>39295</v>
      </c>
      <c r="B24" s="12">
        <v>218482.36259999999</v>
      </c>
      <c r="C24" s="5">
        <v>3520</v>
      </c>
      <c r="D24" s="7">
        <v>19.907171183455485</v>
      </c>
      <c r="E24" s="7"/>
      <c r="F24" s="7"/>
      <c r="G24" s="161">
        <v>1136</v>
      </c>
      <c r="H24" s="194"/>
      <c r="I24" s="198"/>
      <c r="J24" s="198"/>
      <c r="K24" s="198"/>
      <c r="L24" s="198"/>
      <c r="M24" s="5">
        <v>92074</v>
      </c>
      <c r="N24" s="143">
        <v>43665</v>
      </c>
      <c r="O24" s="5">
        <v>9212</v>
      </c>
      <c r="P24" s="213">
        <f t="shared" si="0"/>
        <v>0</v>
      </c>
      <c r="Q24" s="181"/>
      <c r="R24" s="181"/>
      <c r="S24" s="181"/>
      <c r="T24" s="181"/>
      <c r="U24" s="181"/>
      <c r="V24" s="14"/>
      <c r="W24" s="187"/>
      <c r="X24" s="187"/>
      <c r="Y24" s="187"/>
      <c r="Z24" s="187"/>
      <c r="AA24" s="187"/>
      <c r="AB24" s="187"/>
      <c r="AC24" s="187"/>
      <c r="AD24" s="187"/>
      <c r="AE24" s="213">
        <f t="shared" si="1"/>
        <v>0</v>
      </c>
      <c r="AF24" s="14"/>
      <c r="AK24" s="233"/>
      <c r="AV24" s="125">
        <f t="shared" si="3"/>
        <v>0.62648077570724692</v>
      </c>
      <c r="AW24" s="125">
        <f t="shared" si="2"/>
        <v>0.62648077570724692</v>
      </c>
      <c r="AX24" s="119"/>
      <c r="BK24" s="14"/>
      <c r="BL24" s="14"/>
      <c r="BM24" s="14"/>
    </row>
    <row r="25" spans="1:65" x14ac:dyDescent="0.2">
      <c r="A25" s="106">
        <v>39326</v>
      </c>
      <c r="B25" s="12">
        <v>170869.86269999994</v>
      </c>
      <c r="C25" s="5">
        <v>3058</v>
      </c>
      <c r="D25" s="7">
        <v>19.327160361008474</v>
      </c>
      <c r="E25" s="7"/>
      <c r="F25" s="7"/>
      <c r="G25" s="161">
        <v>735</v>
      </c>
      <c r="H25" s="194"/>
      <c r="I25" s="198"/>
      <c r="J25" s="198"/>
      <c r="K25" s="198"/>
      <c r="L25" s="198"/>
      <c r="M25" s="5">
        <v>78789</v>
      </c>
      <c r="N25" s="143">
        <v>16160</v>
      </c>
      <c r="O25" s="5">
        <v>0</v>
      </c>
      <c r="P25" s="213">
        <f t="shared" si="0"/>
        <v>0</v>
      </c>
      <c r="Q25" s="181"/>
      <c r="R25" s="181"/>
      <c r="S25" s="181"/>
      <c r="T25" s="181"/>
      <c r="U25" s="181"/>
      <c r="V25" s="14"/>
      <c r="W25" s="187"/>
      <c r="X25" s="187"/>
      <c r="Y25" s="187"/>
      <c r="Z25" s="187"/>
      <c r="AA25" s="187"/>
      <c r="AB25" s="187"/>
      <c r="AC25" s="187"/>
      <c r="AD25" s="187"/>
      <c r="AE25" s="213">
        <f t="shared" si="1"/>
        <v>0</v>
      </c>
      <c r="AF25" s="14"/>
      <c r="AK25" s="233"/>
      <c r="AV25" s="125">
        <f t="shared" si="3"/>
        <v>0.55998172227711418</v>
      </c>
      <c r="AW25" s="125">
        <f t="shared" si="2"/>
        <v>0.55998172227711418</v>
      </c>
      <c r="AX25" s="119"/>
      <c r="BK25" s="14"/>
      <c r="BL25" s="14"/>
      <c r="BM25" s="14"/>
    </row>
    <row r="26" spans="1:65" x14ac:dyDescent="0.2">
      <c r="A26" s="106">
        <v>39356</v>
      </c>
      <c r="B26" s="12">
        <v>174865.39629999999</v>
      </c>
      <c r="C26" s="5">
        <v>3787</v>
      </c>
      <c r="D26" s="7">
        <v>16.96</v>
      </c>
      <c r="E26" s="7"/>
      <c r="F26" s="7"/>
      <c r="G26" s="161">
        <v>1099</v>
      </c>
      <c r="H26" s="194"/>
      <c r="I26" s="198"/>
      <c r="J26" s="198"/>
      <c r="K26" s="198"/>
      <c r="L26" s="198"/>
      <c r="M26" s="5">
        <v>74306</v>
      </c>
      <c r="N26" s="143">
        <v>5746</v>
      </c>
      <c r="O26" s="5">
        <v>0</v>
      </c>
      <c r="P26" s="213">
        <f t="shared" si="0"/>
        <v>0</v>
      </c>
      <c r="Q26" s="181"/>
      <c r="R26" s="181"/>
      <c r="S26" s="181"/>
      <c r="T26" s="181"/>
      <c r="U26" s="181"/>
      <c r="V26" s="14"/>
      <c r="W26" s="187"/>
      <c r="X26" s="187"/>
      <c r="Y26" s="187"/>
      <c r="Z26" s="187"/>
      <c r="AA26" s="187"/>
      <c r="AB26" s="187"/>
      <c r="AC26" s="187"/>
      <c r="AD26" s="187"/>
      <c r="AE26" s="213">
        <f t="shared" si="1"/>
        <v>0</v>
      </c>
      <c r="AF26" s="14"/>
      <c r="AK26" s="233"/>
      <c r="AV26" s="125">
        <f t="shared" si="3"/>
        <v>0.46407695128415755</v>
      </c>
      <c r="AW26" s="125">
        <f t="shared" si="2"/>
        <v>0.46407695128415755</v>
      </c>
      <c r="AX26" s="119"/>
      <c r="BK26" s="14"/>
      <c r="BL26" s="14"/>
      <c r="BM26" s="14"/>
    </row>
    <row r="27" spans="1:65" x14ac:dyDescent="0.2">
      <c r="A27" s="106">
        <v>39387</v>
      </c>
      <c r="B27" s="12">
        <v>118720.44070000002</v>
      </c>
      <c r="C27" s="5">
        <v>2915</v>
      </c>
      <c r="D27" s="7">
        <v>15.33</v>
      </c>
      <c r="E27" s="7"/>
      <c r="F27" s="7"/>
      <c r="G27" s="160">
        <v>838</v>
      </c>
      <c r="H27" s="194"/>
      <c r="I27" s="199"/>
      <c r="J27" s="199"/>
      <c r="K27" s="199"/>
      <c r="L27" s="199"/>
      <c r="M27" s="5">
        <v>43052</v>
      </c>
      <c r="N27" s="149">
        <v>502</v>
      </c>
      <c r="O27" s="151">
        <v>0</v>
      </c>
      <c r="P27" s="213">
        <f t="shared" si="0"/>
        <v>0</v>
      </c>
      <c r="Q27" s="181"/>
      <c r="R27" s="181"/>
      <c r="S27" s="181"/>
      <c r="T27" s="181"/>
      <c r="U27" s="181"/>
      <c r="V27" s="14"/>
      <c r="W27" s="187"/>
      <c r="X27" s="187"/>
      <c r="Y27" s="187"/>
      <c r="Z27" s="187"/>
      <c r="AA27" s="187"/>
      <c r="AB27" s="187"/>
      <c r="AC27" s="187"/>
      <c r="AD27" s="187"/>
      <c r="AE27" s="213">
        <f t="shared" si="1"/>
        <v>0</v>
      </c>
      <c r="AF27" s="14"/>
      <c r="AK27" s="233"/>
      <c r="AV27" s="125">
        <f t="shared" si="3"/>
        <v>0.3739204448556262</v>
      </c>
      <c r="AW27" s="125">
        <f t="shared" si="2"/>
        <v>0.3739204448556262</v>
      </c>
      <c r="AX27" s="119"/>
      <c r="BK27" s="14"/>
      <c r="BL27" s="14"/>
      <c r="BM27" s="14"/>
    </row>
    <row r="28" spans="1:65" x14ac:dyDescent="0.2">
      <c r="A28" s="106">
        <v>39417</v>
      </c>
      <c r="B28" s="12">
        <v>202287</v>
      </c>
      <c r="C28" s="5">
        <v>3317</v>
      </c>
      <c r="D28" s="7">
        <v>17.399999999999999</v>
      </c>
      <c r="E28" s="7"/>
      <c r="F28" s="7"/>
      <c r="G28" s="160">
        <v>809</v>
      </c>
      <c r="H28" s="194"/>
      <c r="I28" s="198"/>
      <c r="J28" s="198"/>
      <c r="K28" s="198"/>
      <c r="L28" s="198"/>
      <c r="M28" s="5">
        <v>81662</v>
      </c>
      <c r="N28" s="143">
        <v>1031</v>
      </c>
      <c r="O28" s="148">
        <v>4769</v>
      </c>
      <c r="P28" s="213">
        <f t="shared" si="0"/>
        <v>0</v>
      </c>
      <c r="Q28" s="181"/>
      <c r="R28" s="181"/>
      <c r="S28" s="181"/>
      <c r="T28" s="181"/>
      <c r="U28" s="181"/>
      <c r="V28" s="14"/>
      <c r="W28" s="187"/>
      <c r="X28" s="187"/>
      <c r="Y28" s="187"/>
      <c r="Z28" s="187"/>
      <c r="AA28" s="187"/>
      <c r="AB28" s="187"/>
      <c r="AC28" s="187"/>
      <c r="AD28" s="187"/>
      <c r="AE28" s="213">
        <f t="shared" si="1"/>
        <v>0</v>
      </c>
      <c r="AF28" s="14"/>
      <c r="AK28" s="233"/>
      <c r="AV28" s="125">
        <f t="shared" si="3"/>
        <v>0.41278974921769562</v>
      </c>
      <c r="AW28" s="125">
        <f t="shared" si="2"/>
        <v>0.41278974921769562</v>
      </c>
      <c r="AX28" s="119"/>
      <c r="BK28" s="14"/>
      <c r="BL28" s="14"/>
      <c r="BM28" s="14"/>
    </row>
    <row r="29" spans="1:65" x14ac:dyDescent="0.2">
      <c r="A29" s="106">
        <v>39448</v>
      </c>
      <c r="B29" s="12">
        <v>174989.19929999998</v>
      </c>
      <c r="C29" s="5">
        <v>3152</v>
      </c>
      <c r="D29" s="7">
        <v>20.9</v>
      </c>
      <c r="E29" s="7"/>
      <c r="F29" s="7"/>
      <c r="G29" s="160">
        <v>893</v>
      </c>
      <c r="H29" s="194"/>
      <c r="I29" s="198"/>
      <c r="J29" s="198"/>
      <c r="K29" s="198"/>
      <c r="L29" s="198"/>
      <c r="M29" s="5">
        <v>73532</v>
      </c>
      <c r="N29" s="143">
        <v>6011</v>
      </c>
      <c r="O29" s="148">
        <v>3330</v>
      </c>
      <c r="P29" s="213">
        <f t="shared" si="0"/>
        <v>0</v>
      </c>
      <c r="Q29" s="181"/>
      <c r="R29" s="181"/>
      <c r="S29" s="181"/>
      <c r="T29" s="181"/>
      <c r="U29" s="181"/>
      <c r="V29" s="14"/>
      <c r="W29" s="187"/>
      <c r="X29" s="187"/>
      <c r="Y29" s="187"/>
      <c r="Z29" s="187"/>
      <c r="AA29" s="187"/>
      <c r="AB29" s="187"/>
      <c r="AC29" s="187"/>
      <c r="AD29" s="187"/>
      <c r="AE29" s="213">
        <f t="shared" si="1"/>
        <v>0</v>
      </c>
      <c r="AF29" s="14"/>
      <c r="AK29" s="233"/>
      <c r="AV29" s="125">
        <f t="shared" si="3"/>
        <v>0.45966265530537809</v>
      </c>
      <c r="AW29" s="125">
        <f t="shared" si="2"/>
        <v>0.45966265530537809</v>
      </c>
      <c r="AX29" s="119"/>
      <c r="BK29" s="14"/>
      <c r="BL29" s="14"/>
      <c r="BM29" s="14"/>
    </row>
    <row r="30" spans="1:65" x14ac:dyDescent="0.2">
      <c r="A30" s="106">
        <v>39479</v>
      </c>
      <c r="B30" s="12">
        <v>193559</v>
      </c>
      <c r="C30" s="5">
        <v>2849.65</v>
      </c>
      <c r="D30" s="7">
        <v>19.95</v>
      </c>
      <c r="E30" s="7"/>
      <c r="F30" s="7"/>
      <c r="G30" s="161">
        <v>1002</v>
      </c>
      <c r="H30" s="194"/>
      <c r="I30" s="198"/>
      <c r="J30" s="198"/>
      <c r="K30" s="198"/>
      <c r="L30" s="198"/>
      <c r="M30" s="5">
        <v>96767</v>
      </c>
      <c r="N30" s="143">
        <v>36441</v>
      </c>
      <c r="O30" s="148">
        <v>8000</v>
      </c>
      <c r="P30" s="213">
        <f t="shared" si="0"/>
        <v>0</v>
      </c>
      <c r="Q30" s="181"/>
      <c r="R30" s="181"/>
      <c r="S30" s="181"/>
      <c r="T30" s="181"/>
      <c r="U30" s="181"/>
      <c r="V30" s="14"/>
      <c r="W30" s="187"/>
      <c r="X30" s="187"/>
      <c r="Y30" s="187"/>
      <c r="Z30" s="187"/>
      <c r="AA30" s="187"/>
      <c r="AB30" s="187"/>
      <c r="AC30" s="187"/>
      <c r="AD30" s="187"/>
      <c r="AE30" s="213">
        <f t="shared" si="1"/>
        <v>0</v>
      </c>
      <c r="AF30" s="14"/>
      <c r="AK30" s="233"/>
      <c r="AV30" s="125">
        <f t="shared" si="3"/>
        <v>0.69338031297950498</v>
      </c>
      <c r="AW30" s="125">
        <f t="shared" si="2"/>
        <v>0.69338031297950498</v>
      </c>
      <c r="AX30" s="119"/>
      <c r="BK30" s="14"/>
      <c r="BL30" s="14"/>
      <c r="BM30" s="14"/>
    </row>
    <row r="31" spans="1:65" x14ac:dyDescent="0.2">
      <c r="A31" s="106">
        <v>39508</v>
      </c>
      <c r="B31" s="12">
        <v>214545.44539999994</v>
      </c>
      <c r="C31" s="112">
        <v>2958.77</v>
      </c>
      <c r="D31" s="7">
        <v>20.2823377450765</v>
      </c>
      <c r="E31" s="7"/>
      <c r="F31" s="7"/>
      <c r="G31" s="160">
        <v>983</v>
      </c>
      <c r="H31" s="194"/>
      <c r="I31" s="198"/>
      <c r="J31" s="198"/>
      <c r="K31" s="198"/>
      <c r="L31" s="198"/>
      <c r="M31" s="5">
        <v>103695</v>
      </c>
      <c r="N31" s="143">
        <v>12609</v>
      </c>
      <c r="O31" s="151">
        <v>4328</v>
      </c>
      <c r="P31" s="213">
        <f t="shared" si="0"/>
        <v>0</v>
      </c>
      <c r="Q31" s="181"/>
      <c r="R31" s="181"/>
      <c r="S31" s="181"/>
      <c r="T31" s="181"/>
      <c r="U31" s="181"/>
      <c r="V31" s="14"/>
      <c r="W31" s="187"/>
      <c r="X31" s="187"/>
      <c r="Y31" s="187"/>
      <c r="Z31" s="187"/>
      <c r="AA31" s="187"/>
      <c r="AB31" s="187"/>
      <c r="AC31" s="187"/>
      <c r="AD31" s="187"/>
      <c r="AE31" s="213">
        <f t="shared" si="1"/>
        <v>0</v>
      </c>
      <c r="AF31" s="14"/>
      <c r="AK31" s="233"/>
      <c r="AV31" s="125">
        <f t="shared" si="3"/>
        <v>0.54667671821850772</v>
      </c>
      <c r="AW31" s="125">
        <f t="shared" si="2"/>
        <v>0.54667671821850772</v>
      </c>
      <c r="AX31" s="119"/>
      <c r="BK31" s="14"/>
      <c r="BL31" s="14"/>
      <c r="BM31" s="14"/>
    </row>
    <row r="32" spans="1:65" x14ac:dyDescent="0.2">
      <c r="A32" s="106">
        <v>39539</v>
      </c>
      <c r="B32" s="12">
        <v>228151</v>
      </c>
      <c r="C32" s="5">
        <v>3771.52</v>
      </c>
      <c r="D32" s="7">
        <v>19.010000000000002</v>
      </c>
      <c r="E32" s="7"/>
      <c r="F32" s="7"/>
      <c r="G32" s="161">
        <v>1279</v>
      </c>
      <c r="H32" s="194"/>
      <c r="I32" s="198"/>
      <c r="J32" s="198"/>
      <c r="K32" s="198"/>
      <c r="L32" s="198"/>
      <c r="M32" s="5">
        <v>82953</v>
      </c>
      <c r="N32" s="143">
        <v>17151</v>
      </c>
      <c r="O32" s="148">
        <v>11639</v>
      </c>
      <c r="P32" s="213">
        <f t="shared" si="0"/>
        <v>0</v>
      </c>
      <c r="Q32" s="181"/>
      <c r="R32" s="181"/>
      <c r="S32" s="181"/>
      <c r="T32" s="181"/>
      <c r="U32" s="181"/>
      <c r="V32" s="14"/>
      <c r="W32" s="187"/>
      <c r="X32" s="187"/>
      <c r="Y32" s="187"/>
      <c r="Z32" s="187"/>
      <c r="AA32" s="187"/>
      <c r="AB32" s="187"/>
      <c r="AC32" s="187"/>
      <c r="AD32" s="187"/>
      <c r="AE32" s="213">
        <f t="shared" si="1"/>
        <v>0</v>
      </c>
      <c r="AF32" s="14"/>
      <c r="AK32" s="233"/>
      <c r="AV32" s="125">
        <f t="shared" si="3"/>
        <v>0.44436798436123442</v>
      </c>
      <c r="AW32" s="125">
        <f t="shared" si="2"/>
        <v>0.44436798436123442</v>
      </c>
      <c r="AX32" s="119"/>
      <c r="BK32" s="14"/>
      <c r="BL32" s="14"/>
      <c r="BM32" s="14"/>
    </row>
    <row r="33" spans="1:65" x14ac:dyDescent="0.2">
      <c r="A33" s="106">
        <v>39569</v>
      </c>
      <c r="B33" s="12">
        <v>239780.68800000005</v>
      </c>
      <c r="C33" s="5">
        <v>2906</v>
      </c>
      <c r="D33" s="4">
        <v>19</v>
      </c>
      <c r="E33" s="4"/>
      <c r="F33" s="4"/>
      <c r="G33" s="161">
        <v>1414</v>
      </c>
      <c r="H33" s="194"/>
      <c r="I33" s="198"/>
      <c r="J33" s="198"/>
      <c r="K33" s="198"/>
      <c r="L33" s="198"/>
      <c r="M33" s="5">
        <v>84637</v>
      </c>
      <c r="N33" s="143">
        <v>17316</v>
      </c>
      <c r="O33" s="151">
        <v>0</v>
      </c>
      <c r="P33" s="213">
        <f t="shared" si="0"/>
        <v>0</v>
      </c>
      <c r="Q33" s="181"/>
      <c r="R33" s="181"/>
      <c r="S33" s="181"/>
      <c r="T33" s="181"/>
      <c r="U33" s="181"/>
      <c r="V33" s="14"/>
      <c r="W33" s="187"/>
      <c r="X33" s="187"/>
      <c r="Y33" s="187"/>
      <c r="Z33" s="187"/>
      <c r="AA33" s="187"/>
      <c r="AB33" s="187"/>
      <c r="AC33" s="187"/>
      <c r="AD33" s="187"/>
      <c r="AE33" s="213">
        <f t="shared" si="1"/>
        <v>0</v>
      </c>
      <c r="AF33" s="14"/>
      <c r="AK33" s="233"/>
      <c r="AV33" s="125">
        <f t="shared" si="3"/>
        <v>0.43108976315890785</v>
      </c>
      <c r="AW33" s="125">
        <f t="shared" si="2"/>
        <v>0.43108976315890785</v>
      </c>
      <c r="AX33" s="119"/>
      <c r="BK33" s="14"/>
      <c r="BL33" s="14"/>
      <c r="BM33" s="14"/>
    </row>
    <row r="34" spans="1:65" x14ac:dyDescent="0.2">
      <c r="A34" s="106">
        <v>39600</v>
      </c>
      <c r="B34" s="12">
        <v>240820</v>
      </c>
      <c r="C34" s="5">
        <v>3475.1774074074078</v>
      </c>
      <c r="D34" s="4">
        <v>19</v>
      </c>
      <c r="E34" s="4"/>
      <c r="F34" s="4"/>
      <c r="G34" s="161">
        <v>999</v>
      </c>
      <c r="H34" s="194"/>
      <c r="I34" s="198"/>
      <c r="J34" s="198"/>
      <c r="K34" s="198"/>
      <c r="L34" s="198"/>
      <c r="M34" s="5">
        <v>93929</v>
      </c>
      <c r="N34" s="143">
        <v>19962</v>
      </c>
      <c r="O34" s="151">
        <v>0</v>
      </c>
      <c r="P34" s="213">
        <f t="shared" si="0"/>
        <v>0</v>
      </c>
      <c r="Q34" s="181"/>
      <c r="R34" s="181"/>
      <c r="S34" s="181"/>
      <c r="T34" s="181"/>
      <c r="U34" s="181"/>
      <c r="V34" s="14"/>
      <c r="W34" s="187"/>
      <c r="X34" s="187"/>
      <c r="Y34" s="187"/>
      <c r="Z34" s="187"/>
      <c r="AA34" s="187"/>
      <c r="AB34" s="187"/>
      <c r="AC34" s="187"/>
      <c r="AD34" s="187"/>
      <c r="AE34" s="213">
        <f t="shared" si="1"/>
        <v>0</v>
      </c>
      <c r="AF34" s="14"/>
      <c r="AK34" s="233"/>
      <c r="AV34" s="125">
        <f t="shared" si="3"/>
        <v>0.47707831575450543</v>
      </c>
      <c r="AW34" s="125">
        <f t="shared" si="2"/>
        <v>0.47707831575450543</v>
      </c>
      <c r="AX34" s="119"/>
      <c r="BK34" s="14"/>
      <c r="BL34" s="14"/>
      <c r="BM34" s="14"/>
    </row>
    <row r="35" spans="1:65" x14ac:dyDescent="0.2">
      <c r="A35" s="106">
        <v>39630</v>
      </c>
      <c r="B35" s="12">
        <f>[2]MILLING!$E$72</f>
        <v>183633</v>
      </c>
      <c r="C35" s="5">
        <f>'[3]Mass balance 30 June 08   '!$F$27*(1/(1-0.19))</f>
        <v>3475.1774074074078</v>
      </c>
      <c r="D35" s="4">
        <f>+[2]SUMMARY!$E$52</f>
        <v>21</v>
      </c>
      <c r="E35" s="4"/>
      <c r="F35" s="4"/>
      <c r="G35" s="161">
        <v>1000</v>
      </c>
      <c r="H35" s="194"/>
      <c r="I35" s="198"/>
      <c r="J35" s="198"/>
      <c r="K35" s="198"/>
      <c r="L35" s="198"/>
      <c r="M35" s="5">
        <f>+[2]SUMMARY!$H$60</f>
        <v>65408</v>
      </c>
      <c r="N35" s="143">
        <f>+[2]SUMMARY!$H$61</f>
        <v>14940</v>
      </c>
      <c r="O35" s="148">
        <v>1</v>
      </c>
      <c r="P35" s="213">
        <f t="shared" si="0"/>
        <v>0</v>
      </c>
      <c r="Q35" s="181"/>
      <c r="R35" s="181"/>
      <c r="S35" s="181"/>
      <c r="T35" s="181"/>
      <c r="U35" s="181"/>
      <c r="V35" s="14"/>
      <c r="W35" s="187"/>
      <c r="X35" s="187"/>
      <c r="Y35" s="187"/>
      <c r="Z35" s="187"/>
      <c r="AA35" s="187"/>
      <c r="AB35" s="187"/>
      <c r="AC35" s="187"/>
      <c r="AD35" s="187"/>
      <c r="AE35" s="213">
        <f t="shared" si="1"/>
        <v>0</v>
      </c>
      <c r="AF35" s="14"/>
      <c r="AK35" s="233"/>
      <c r="AV35" s="125">
        <f t="shared" si="3"/>
        <v>0.44299227263073632</v>
      </c>
      <c r="AW35" s="125">
        <f t="shared" si="2"/>
        <v>0.44299227263073632</v>
      </c>
      <c r="AX35" s="119"/>
      <c r="BK35" s="14"/>
      <c r="BL35" s="14"/>
      <c r="BM35" s="14"/>
    </row>
    <row r="36" spans="1:65" x14ac:dyDescent="0.2">
      <c r="A36" s="106">
        <v>39661</v>
      </c>
      <c r="B36" s="12">
        <v>250119</v>
      </c>
      <c r="C36" s="8">
        <v>4152</v>
      </c>
      <c r="D36" s="7">
        <v>20</v>
      </c>
      <c r="E36" s="7"/>
      <c r="F36" s="7"/>
      <c r="G36" s="162">
        <v>2470</v>
      </c>
      <c r="H36" s="200"/>
      <c r="I36" s="201"/>
      <c r="J36" s="201"/>
      <c r="K36" s="201"/>
      <c r="L36" s="201"/>
      <c r="M36" s="8">
        <v>92565</v>
      </c>
      <c r="N36" s="142">
        <v>25056</v>
      </c>
      <c r="O36" s="150">
        <v>1</v>
      </c>
      <c r="P36" s="213">
        <f t="shared" si="0"/>
        <v>0</v>
      </c>
      <c r="Q36" s="181"/>
      <c r="R36" s="181"/>
      <c r="S36" s="181"/>
      <c r="T36" s="181"/>
      <c r="U36" s="181"/>
      <c r="V36" s="14"/>
      <c r="W36" s="187"/>
      <c r="X36" s="187"/>
      <c r="Y36" s="187"/>
      <c r="Z36" s="187"/>
      <c r="AA36" s="187"/>
      <c r="AB36" s="187"/>
      <c r="AC36" s="187"/>
      <c r="AD36" s="187"/>
      <c r="AE36" s="213">
        <f t="shared" si="1"/>
        <v>0</v>
      </c>
      <c r="AF36" s="14"/>
      <c r="AK36" s="233"/>
      <c r="AV36" s="125">
        <f t="shared" si="3"/>
        <v>0.480135455523171</v>
      </c>
      <c r="AW36" s="125">
        <f t="shared" si="2"/>
        <v>0.480135455523171</v>
      </c>
      <c r="AX36" s="119"/>
      <c r="BK36" s="14"/>
      <c r="BL36" s="14"/>
      <c r="BM36" s="14"/>
    </row>
    <row r="37" spans="1:65" x14ac:dyDescent="0.2">
      <c r="A37" s="106">
        <v>39692</v>
      </c>
      <c r="B37" s="12">
        <v>233467</v>
      </c>
      <c r="C37" s="8">
        <f>'[4]Detailed water ret flow Sept 08'!M97</f>
        <v>4928</v>
      </c>
      <c r="D37" s="7">
        <f>'[4]Detailed water ret flow Sept 08'!M98</f>
        <v>18</v>
      </c>
      <c r="E37" s="7"/>
      <c r="F37" s="7"/>
      <c r="G37" s="162">
        <f>'[4]Detailed water ret flow Sept 08'!C100</f>
        <v>1452</v>
      </c>
      <c r="H37" s="200"/>
      <c r="I37" s="201"/>
      <c r="J37" s="201"/>
      <c r="K37" s="201"/>
      <c r="L37" s="201"/>
      <c r="M37" s="8">
        <f>'[4]Detailed water ret flow Sept 08'!C98</f>
        <v>94851</v>
      </c>
      <c r="N37" s="142">
        <f>'[4]Detailed water ret flow Sept 08'!C99</f>
        <v>23092</v>
      </c>
      <c r="O37" s="150">
        <v>0</v>
      </c>
      <c r="P37" s="213">
        <f t="shared" si="0"/>
        <v>0</v>
      </c>
      <c r="Q37" s="181"/>
      <c r="R37" s="181"/>
      <c r="S37" s="181"/>
      <c r="T37" s="181"/>
      <c r="U37" s="181"/>
      <c r="V37" s="14"/>
      <c r="W37" s="187"/>
      <c r="X37" s="187"/>
      <c r="Y37" s="187"/>
      <c r="Z37" s="187"/>
      <c r="AA37" s="187"/>
      <c r="AB37" s="187"/>
      <c r="AC37" s="187"/>
      <c r="AD37" s="187"/>
      <c r="AE37" s="213">
        <f t="shared" si="1"/>
        <v>0</v>
      </c>
      <c r="AF37" s="14"/>
      <c r="AK37" s="233"/>
      <c r="AV37" s="125">
        <f t="shared" si="3"/>
        <v>0.51139989805839803</v>
      </c>
      <c r="AW37" s="125">
        <f t="shared" si="2"/>
        <v>0.51139989805839803</v>
      </c>
      <c r="AX37" s="119"/>
      <c r="BK37" s="14"/>
      <c r="BL37" s="14"/>
      <c r="BM37" s="14"/>
    </row>
    <row r="38" spans="1:65" x14ac:dyDescent="0.2">
      <c r="A38" s="106">
        <v>39723</v>
      </c>
      <c r="B38" s="12">
        <f>'[5]Detailed ret flow March-14'!$C$40</f>
        <v>0</v>
      </c>
      <c r="C38" s="10">
        <v>4132</v>
      </c>
      <c r="D38" s="9">
        <v>22</v>
      </c>
      <c r="E38" s="9"/>
      <c r="F38" s="9"/>
      <c r="G38" s="163">
        <v>1921</v>
      </c>
      <c r="H38" s="202"/>
      <c r="I38" s="201"/>
      <c r="J38" s="201"/>
      <c r="K38" s="201"/>
      <c r="L38" s="201"/>
      <c r="M38" s="10">
        <f>'[4]Detailed water ret flow Oct 08'!C98</f>
        <v>85503</v>
      </c>
      <c r="N38" s="142">
        <f>'[4]Detailed water ret flow Oct 08'!C99</f>
        <v>14313</v>
      </c>
      <c r="O38" s="150">
        <v>3729</v>
      </c>
      <c r="P38" s="213">
        <f t="shared" si="0"/>
        <v>0</v>
      </c>
      <c r="Q38" s="181"/>
      <c r="R38" s="181"/>
      <c r="S38" s="181"/>
      <c r="T38" s="181"/>
      <c r="U38" s="181"/>
      <c r="V38" s="14"/>
      <c r="W38" s="187"/>
      <c r="X38" s="187"/>
      <c r="Y38" s="187"/>
      <c r="Z38" s="187"/>
      <c r="AA38" s="187"/>
      <c r="AB38" s="187"/>
      <c r="AC38" s="187"/>
      <c r="AD38" s="187"/>
      <c r="AE38" s="213">
        <f t="shared" si="1"/>
        <v>0</v>
      </c>
      <c r="AF38" s="14"/>
      <c r="AK38" s="233"/>
      <c r="AV38" s="125" t="e">
        <f t="shared" si="3"/>
        <v>#DIV/0!</v>
      </c>
      <c r="AW38" s="125" t="e">
        <f t="shared" si="2"/>
        <v>#DIV/0!</v>
      </c>
      <c r="AX38" s="119"/>
      <c r="BK38" s="14"/>
      <c r="BL38" s="14"/>
      <c r="BM38" s="14"/>
    </row>
    <row r="39" spans="1:65" x14ac:dyDescent="0.2">
      <c r="A39" s="106">
        <v>39755</v>
      </c>
      <c r="B39" s="12">
        <v>224076</v>
      </c>
      <c r="C39" s="12">
        <v>3538.3</v>
      </c>
      <c r="D39" s="11">
        <v>21</v>
      </c>
      <c r="E39" s="11"/>
      <c r="F39" s="11"/>
      <c r="G39" s="164">
        <v>1197</v>
      </c>
      <c r="H39" s="197"/>
      <c r="I39" s="198"/>
      <c r="J39" s="198"/>
      <c r="K39" s="198"/>
      <c r="L39" s="198"/>
      <c r="M39" s="12">
        <v>80252</v>
      </c>
      <c r="N39" s="143">
        <v>9331</v>
      </c>
      <c r="O39" s="148">
        <v>5750</v>
      </c>
      <c r="P39" s="213">
        <f t="shared" si="0"/>
        <v>0</v>
      </c>
      <c r="Q39" s="181"/>
      <c r="R39" s="181"/>
      <c r="S39" s="181"/>
      <c r="T39" s="181"/>
      <c r="U39" s="181"/>
      <c r="V39" s="14"/>
      <c r="W39" s="187"/>
      <c r="X39" s="187"/>
      <c r="Y39" s="187"/>
      <c r="Z39" s="187"/>
      <c r="AA39" s="187"/>
      <c r="AB39" s="187"/>
      <c r="AC39" s="187"/>
      <c r="AD39" s="187"/>
      <c r="AE39" s="213">
        <f t="shared" si="1"/>
        <v>0</v>
      </c>
      <c r="AF39" s="14"/>
      <c r="AK39" s="233"/>
      <c r="AV39" s="125">
        <f t="shared" si="3"/>
        <v>0.40513040218497298</v>
      </c>
      <c r="AW39" s="125">
        <f t="shared" si="2"/>
        <v>0.40513040218497298</v>
      </c>
      <c r="AX39" s="119"/>
      <c r="BK39" s="14"/>
      <c r="BL39" s="14"/>
      <c r="BM39" s="14"/>
    </row>
    <row r="40" spans="1:65" x14ac:dyDescent="0.2">
      <c r="A40" s="106">
        <v>39786</v>
      </c>
      <c r="B40" s="12">
        <f>'[6]MILLING (3)'!$E$72</f>
        <v>244139</v>
      </c>
      <c r="C40" s="12">
        <f>'[7]Metal Reconciliation'!$M$316</f>
        <v>4378.0999999999985</v>
      </c>
      <c r="D40" s="9">
        <v>20.210999999999999</v>
      </c>
      <c r="E40" s="9"/>
      <c r="F40" s="9"/>
      <c r="G40" s="164">
        <v>1400</v>
      </c>
      <c r="H40" s="197"/>
      <c r="I40" s="198"/>
      <c r="J40" s="198"/>
      <c r="K40" s="198"/>
      <c r="L40" s="198"/>
      <c r="M40" s="12">
        <f>'[6]PLANT SUMMARY'!$H$60</f>
        <v>94212</v>
      </c>
      <c r="N40" s="143">
        <f>'[6]PLANT SUMMARY'!$H$61</f>
        <v>27525</v>
      </c>
      <c r="O40" s="148">
        <v>9760</v>
      </c>
      <c r="P40" s="213">
        <f t="shared" si="0"/>
        <v>0</v>
      </c>
      <c r="Q40" s="181"/>
      <c r="R40" s="181"/>
      <c r="S40" s="181"/>
      <c r="T40" s="181"/>
      <c r="U40" s="181"/>
      <c r="V40" s="14"/>
      <c r="W40" s="187"/>
      <c r="X40" s="187"/>
      <c r="Y40" s="187"/>
      <c r="Z40" s="187"/>
      <c r="AA40" s="187"/>
      <c r="AB40" s="187"/>
      <c r="AC40" s="187"/>
      <c r="AD40" s="187"/>
      <c r="AE40" s="213">
        <f t="shared" si="1"/>
        <v>0</v>
      </c>
      <c r="AF40" s="14"/>
      <c r="AK40" s="233"/>
      <c r="AV40" s="125">
        <f t="shared" si="3"/>
        <v>0.50437250910342057</v>
      </c>
      <c r="AW40" s="125">
        <f t="shared" si="2"/>
        <v>0.50437250910342057</v>
      </c>
      <c r="AX40" s="119"/>
      <c r="BK40" s="14"/>
      <c r="BL40" s="14"/>
      <c r="BM40" s="14"/>
    </row>
    <row r="41" spans="1:65" x14ac:dyDescent="0.2">
      <c r="A41" s="106">
        <v>39842</v>
      </c>
      <c r="B41" s="5">
        <f>'[8]Plant Inputs'!$K$74</f>
        <v>238943</v>
      </c>
      <c r="C41" s="12">
        <f>'[9]Metal Reconciliation'!$C$316</f>
        <v>4710.5099999999984</v>
      </c>
      <c r="D41" s="101">
        <v>21.05</v>
      </c>
      <c r="E41" s="101"/>
      <c r="F41" s="101"/>
      <c r="G41" s="164">
        <v>1078</v>
      </c>
      <c r="H41" s="197"/>
      <c r="I41" s="198"/>
      <c r="J41" s="198"/>
      <c r="K41" s="198"/>
      <c r="L41" s="198"/>
      <c r="M41" s="12">
        <f>'[8]PLANT SUMMARY'!$H$60</f>
        <v>89553</v>
      </c>
      <c r="N41" s="143">
        <f>'[8]PLANT SUMMARY'!$H$61</f>
        <v>20782</v>
      </c>
      <c r="O41" s="148">
        <f>'[8]Plant Inputs'!$BE$72-'[8]Plant Inputs'!$BE$10</f>
        <v>13061</v>
      </c>
      <c r="P41" s="213">
        <f t="shared" si="0"/>
        <v>0</v>
      </c>
      <c r="Q41" s="181"/>
      <c r="R41" s="181"/>
      <c r="S41" s="181"/>
      <c r="T41" s="181"/>
      <c r="U41" s="181"/>
      <c r="V41" s="14"/>
      <c r="W41" s="187"/>
      <c r="X41" s="187"/>
      <c r="Y41" s="187"/>
      <c r="Z41" s="187"/>
      <c r="AA41" s="187"/>
      <c r="AB41" s="187"/>
      <c r="AC41" s="187"/>
      <c r="AD41" s="187"/>
      <c r="AE41" s="213">
        <f t="shared" si="1"/>
        <v>0</v>
      </c>
      <c r="AF41" s="14"/>
      <c r="AK41" s="233"/>
      <c r="AV41" s="125">
        <f t="shared" si="3"/>
        <v>0.46627438343035787</v>
      </c>
      <c r="AW41" s="125">
        <f t="shared" si="2"/>
        <v>0.46627438343035787</v>
      </c>
      <c r="AX41" s="119"/>
      <c r="BK41" s="14"/>
      <c r="BL41" s="14"/>
      <c r="BM41" s="14"/>
    </row>
    <row r="42" spans="1:65" x14ac:dyDescent="0.2">
      <c r="A42" s="106">
        <v>39845</v>
      </c>
      <c r="B42" s="5">
        <f>+'[10]Metal accounting summary'!$C$39</f>
        <v>199558.1448000001</v>
      </c>
      <c r="C42" s="12">
        <f>+'[10]Metal accounting summary'!$AL$39</f>
        <v>3013.6746250000006</v>
      </c>
      <c r="D42" s="101">
        <v>20.033999999999999</v>
      </c>
      <c r="E42" s="101"/>
      <c r="F42" s="101"/>
      <c r="G42" s="164">
        <v>1173</v>
      </c>
      <c r="H42" s="197"/>
      <c r="I42" s="198"/>
      <c r="J42" s="198"/>
      <c r="K42" s="198"/>
      <c r="L42" s="198"/>
      <c r="M42" s="12">
        <v>56428</v>
      </c>
      <c r="N42" s="144">
        <v>19291</v>
      </c>
      <c r="O42" s="148">
        <v>15152</v>
      </c>
      <c r="P42" s="213">
        <f t="shared" si="0"/>
        <v>0</v>
      </c>
      <c r="Q42" s="181"/>
      <c r="R42" s="181"/>
      <c r="S42" s="181"/>
      <c r="T42" s="181"/>
      <c r="U42" s="181"/>
      <c r="V42" s="14"/>
      <c r="W42" s="187"/>
      <c r="X42" s="187"/>
      <c r="Y42" s="187"/>
      <c r="Z42" s="187"/>
      <c r="AA42" s="187"/>
      <c r="AB42" s="187"/>
      <c r="AC42" s="187"/>
      <c r="AD42" s="187"/>
      <c r="AE42" s="213">
        <f t="shared" si="1"/>
        <v>0</v>
      </c>
      <c r="AF42" s="14"/>
      <c r="AK42" s="233"/>
      <c r="AV42" s="125">
        <f t="shared" si="3"/>
        <v>0.38531125891685458</v>
      </c>
      <c r="AW42" s="125">
        <f t="shared" si="2"/>
        <v>0.38531125891685458</v>
      </c>
      <c r="AX42" s="119"/>
      <c r="BK42" s="14"/>
      <c r="BL42" s="14"/>
      <c r="BM42" s="14"/>
    </row>
    <row r="43" spans="1:65" x14ac:dyDescent="0.2">
      <c r="A43" s="106">
        <v>39874</v>
      </c>
      <c r="B43" s="5">
        <v>204514</v>
      </c>
      <c r="C43" s="12">
        <f>3059/((100-D43)/100)</f>
        <v>3873.1324385920484</v>
      </c>
      <c r="D43" s="101">
        <v>21.02</v>
      </c>
      <c r="E43" s="101"/>
      <c r="F43" s="101"/>
      <c r="G43" s="164">
        <v>1427</v>
      </c>
      <c r="H43" s="197"/>
      <c r="I43" s="198"/>
      <c r="J43" s="198"/>
      <c r="K43" s="198"/>
      <c r="L43" s="198"/>
      <c r="M43" s="12">
        <v>74269</v>
      </c>
      <c r="N43" s="144">
        <v>22553</v>
      </c>
      <c r="O43" s="148">
        <v>19556</v>
      </c>
      <c r="P43" s="213">
        <f t="shared" si="0"/>
        <v>0</v>
      </c>
      <c r="Q43" s="181"/>
      <c r="R43" s="181"/>
      <c r="S43" s="181"/>
      <c r="T43" s="181"/>
      <c r="U43" s="181"/>
      <c r="V43" s="14"/>
      <c r="W43" s="187"/>
      <c r="X43" s="187"/>
      <c r="Y43" s="187"/>
      <c r="Z43" s="187"/>
      <c r="AA43" s="187"/>
      <c r="AB43" s="187"/>
      <c r="AC43" s="187"/>
      <c r="AD43" s="187"/>
      <c r="AE43" s="213">
        <f t="shared" si="1"/>
        <v>0</v>
      </c>
      <c r="AF43" s="14"/>
      <c r="AG43" s="13" t="s">
        <v>11</v>
      </c>
      <c r="AH43" s="13"/>
      <c r="AI43" s="13"/>
      <c r="AJ43" s="13"/>
      <c r="AK43" s="233"/>
      <c r="AL43" s="13"/>
      <c r="AM43" s="13"/>
      <c r="AN43" s="13"/>
      <c r="AV43" s="125">
        <f t="shared" si="3"/>
        <v>0.48040231964559882</v>
      </c>
      <c r="AW43" s="125">
        <f t="shared" si="2"/>
        <v>0.48040231964559882</v>
      </c>
      <c r="AX43" s="119"/>
      <c r="BK43" s="14"/>
      <c r="BL43" s="14"/>
      <c r="BM43" s="14"/>
    </row>
    <row r="44" spans="1:65" x14ac:dyDescent="0.2">
      <c r="A44" s="106">
        <v>39904</v>
      </c>
      <c r="B44" s="5">
        <v>204265</v>
      </c>
      <c r="C44" s="15">
        <v>3338</v>
      </c>
      <c r="D44" s="14">
        <v>20</v>
      </c>
      <c r="E44" s="14"/>
      <c r="F44" s="14"/>
      <c r="G44" s="164">
        <v>1604</v>
      </c>
      <c r="H44" s="203"/>
      <c r="I44" s="198"/>
      <c r="J44" s="198"/>
      <c r="K44" s="198"/>
      <c r="L44" s="198"/>
      <c r="M44" s="15">
        <v>91753</v>
      </c>
      <c r="N44" s="144">
        <v>16266</v>
      </c>
      <c r="O44" s="148">
        <v>4846</v>
      </c>
      <c r="P44" s="213">
        <f t="shared" si="0"/>
        <v>4304</v>
      </c>
      <c r="Q44" s="158">
        <f>'[4]Main Decline Boreholes '!C42-'[4]Main Decline Boreholes '!C38</f>
        <v>790</v>
      </c>
      <c r="R44" s="159">
        <v>2036</v>
      </c>
      <c r="S44" s="159"/>
      <c r="T44" s="159">
        <f>'[4]Main Decline Boreholes '!E42-'[4]Main Decline Boreholes '!E38</f>
        <v>1478</v>
      </c>
      <c r="U44" s="159"/>
      <c r="V44" s="148">
        <f>'[4]Detailed water ret flow April'!Y50</f>
        <v>180767</v>
      </c>
      <c r="W44" s="188"/>
      <c r="X44" s="188"/>
      <c r="Y44" s="188"/>
      <c r="Z44" s="188"/>
      <c r="AA44" s="188"/>
      <c r="AB44" s="188"/>
      <c r="AC44" s="187">
        <v>1500</v>
      </c>
      <c r="AD44" s="188">
        <v>2051</v>
      </c>
      <c r="AE44" s="213">
        <f t="shared" si="1"/>
        <v>3551</v>
      </c>
      <c r="AF44" s="148">
        <v>60460</v>
      </c>
      <c r="AK44" s="233"/>
      <c r="AQ44" s="118">
        <v>1.64</v>
      </c>
      <c r="AV44" s="125">
        <f t="shared" si="3"/>
        <v>0.57512544978336966</v>
      </c>
      <c r="AW44" s="125">
        <f t="shared" si="2"/>
        <v>0.53667050155435336</v>
      </c>
      <c r="AX44" s="119"/>
      <c r="BH44" s="286" t="s">
        <v>111</v>
      </c>
      <c r="BI44" s="287"/>
      <c r="BJ44" s="287"/>
      <c r="BK44" s="14"/>
      <c r="BL44" s="14"/>
      <c r="BM44" s="14"/>
    </row>
    <row r="45" spans="1:65" x14ac:dyDescent="0.2">
      <c r="A45" s="106">
        <v>39964</v>
      </c>
      <c r="B45" s="5">
        <v>230121</v>
      </c>
      <c r="C45" s="15">
        <v>3622.4628885000011</v>
      </c>
      <c r="D45" s="101">
        <v>19.23</v>
      </c>
      <c r="E45" s="101"/>
      <c r="F45" s="101"/>
      <c r="G45" s="164">
        <v>1555</v>
      </c>
      <c r="H45" s="203"/>
      <c r="I45" s="198"/>
      <c r="J45" s="198"/>
      <c r="K45" s="198"/>
      <c r="L45" s="198"/>
      <c r="M45" s="15">
        <v>97823</v>
      </c>
      <c r="N45" s="144">
        <f>(31776*230/900)+9468</f>
        <v>17588.533333333333</v>
      </c>
      <c r="O45" s="148">
        <v>9666</v>
      </c>
      <c r="P45" s="213">
        <f t="shared" si="0"/>
        <v>2668</v>
      </c>
      <c r="Q45" s="158">
        <v>1367</v>
      </c>
      <c r="R45" s="159">
        <v>466</v>
      </c>
      <c r="S45" s="159"/>
      <c r="T45" s="159">
        <v>835</v>
      </c>
      <c r="U45" s="159"/>
      <c r="V45" s="148">
        <v>171452</v>
      </c>
      <c r="W45" s="188"/>
      <c r="X45" s="188"/>
      <c r="Y45" s="188"/>
      <c r="Z45" s="188"/>
      <c r="AA45" s="188"/>
      <c r="AB45" s="188"/>
      <c r="AC45" s="187">
        <v>122</v>
      </c>
      <c r="AD45" s="188">
        <f>'[4]north decline'!F11</f>
        <v>1461</v>
      </c>
      <c r="AE45" s="213">
        <f t="shared" si="1"/>
        <v>1583</v>
      </c>
      <c r="AF45" s="148">
        <v>60652</v>
      </c>
      <c r="AK45" s="233"/>
      <c r="AQ45" s="118">
        <v>1.68</v>
      </c>
      <c r="AV45" s="125">
        <f t="shared" si="3"/>
        <v>0.52675563435468009</v>
      </c>
      <c r="AW45" s="125">
        <f t="shared" si="2"/>
        <v>0.50828274400568974</v>
      </c>
      <c r="AX45" s="119"/>
      <c r="BH45" s="131" t="s">
        <v>109</v>
      </c>
      <c r="BI45" s="131" t="s">
        <v>110</v>
      </c>
      <c r="BJ45" s="132" t="s">
        <v>97</v>
      </c>
      <c r="BK45" s="14"/>
      <c r="BL45" s="14"/>
      <c r="BM45" s="14"/>
    </row>
    <row r="46" spans="1:65" x14ac:dyDescent="0.2">
      <c r="A46" s="106">
        <f>+A45+1</f>
        <v>39965</v>
      </c>
      <c r="B46" s="4">
        <f>+'[4]Detailed water ret flow June'!M111</f>
        <v>236124</v>
      </c>
      <c r="C46" s="130">
        <f>+'[4]Detailed water ret flow June'!M97</f>
        <v>4224</v>
      </c>
      <c r="D46" s="101">
        <f>+'[4]Detailed water ret flow June'!M98</f>
        <v>17.899999999999999</v>
      </c>
      <c r="E46" s="101"/>
      <c r="F46" s="101"/>
      <c r="G46" s="164">
        <f>+'[4]Detailed water ret flow June'!C100</f>
        <v>1770</v>
      </c>
      <c r="H46" s="203"/>
      <c r="I46" s="198"/>
      <c r="J46" s="198"/>
      <c r="K46" s="198"/>
      <c r="L46" s="198"/>
      <c r="M46" s="15">
        <f>+'[4]Detailed water ret flow June'!C98</f>
        <v>87842</v>
      </c>
      <c r="N46" s="143">
        <f>+'[4]Detailed water ret flow June'!C99</f>
        <v>16958</v>
      </c>
      <c r="O46" s="148">
        <f>+'[4]Detailed water ret flow June'!M100</f>
        <v>4443</v>
      </c>
      <c r="P46" s="213">
        <f t="shared" si="0"/>
        <v>4241</v>
      </c>
      <c r="Q46" s="158">
        <v>1253</v>
      </c>
      <c r="R46" s="159">
        <v>1990</v>
      </c>
      <c r="S46" s="159"/>
      <c r="T46" s="159">
        <v>998</v>
      </c>
      <c r="U46" s="159"/>
      <c r="V46" s="148">
        <v>243945</v>
      </c>
      <c r="W46" s="188"/>
      <c r="X46" s="188"/>
      <c r="Y46" s="188"/>
      <c r="Z46" s="188"/>
      <c r="AA46" s="188"/>
      <c r="AB46" s="188"/>
      <c r="AC46" s="187">
        <v>138</v>
      </c>
      <c r="AD46" s="188">
        <v>1296</v>
      </c>
      <c r="AE46" s="213">
        <f t="shared" si="1"/>
        <v>1434</v>
      </c>
      <c r="AF46" s="148">
        <v>64493</v>
      </c>
      <c r="AK46" s="233"/>
      <c r="AO46" s="14">
        <v>73690.492678248062</v>
      </c>
      <c r="AP46" s="125">
        <f t="shared" ref="AP46:AP77" si="4">AO46/B46</f>
        <v>0.31208387405874904</v>
      </c>
      <c r="AQ46" s="118">
        <v>1.69</v>
      </c>
      <c r="AR46" s="159">
        <v>29404</v>
      </c>
      <c r="AS46" s="159">
        <v>9785</v>
      </c>
      <c r="AT46" s="159"/>
      <c r="AU46" s="101">
        <f>547000/12</f>
        <v>45583.333333333336</v>
      </c>
      <c r="AV46" s="125">
        <f t="shared" si="3"/>
        <v>0.47536463891853431</v>
      </c>
      <c r="AW46" s="125">
        <f t="shared" si="2"/>
        <v>0.45133065677355966</v>
      </c>
      <c r="AX46" s="125">
        <f t="shared" ref="AX46:AX55" si="5">AV46-AW46</f>
        <v>2.4033982144974653E-2</v>
      </c>
      <c r="AY46" s="125">
        <f t="shared" ref="AY46:AY77" si="6">BC46/B46</f>
        <v>1.1346534198539286</v>
      </c>
      <c r="AZ46" s="125">
        <f t="shared" ref="AZ46:AZ77" si="7">(M46+N46+G46+AO46)/B46</f>
        <v>0.7634145308323087</v>
      </c>
      <c r="BA46" s="125">
        <f t="shared" ref="BA46:BA77" si="8">BD46/V46</f>
        <v>0.5054418004058292</v>
      </c>
      <c r="BB46" s="125">
        <f t="shared" ref="BB46:BB77" si="9">BE46/V46</f>
        <v>0.59283405730631511</v>
      </c>
      <c r="BC46" s="14">
        <f>BD46+BE46</f>
        <v>267918.90410958906</v>
      </c>
      <c r="BD46" s="14">
        <f>$BD$4*BF46</f>
        <v>123300</v>
      </c>
      <c r="BE46" s="14">
        <f>$BE$4*BF46</f>
        <v>144618.90410958903</v>
      </c>
      <c r="BF46" s="14">
        <v>30</v>
      </c>
      <c r="BH46" s="14"/>
      <c r="BI46" s="14"/>
      <c r="BJ46" s="167"/>
      <c r="BK46" s="14"/>
      <c r="BL46" s="14"/>
      <c r="BM46" s="14"/>
    </row>
    <row r="47" spans="1:65" x14ac:dyDescent="0.2">
      <c r="A47" s="110">
        <v>40025</v>
      </c>
      <c r="B47" s="4">
        <v>244780</v>
      </c>
      <c r="C47" s="130">
        <v>4751</v>
      </c>
      <c r="D47" s="14">
        <v>18</v>
      </c>
      <c r="E47" s="14"/>
      <c r="F47" s="14"/>
      <c r="G47" s="165">
        <f>('[11]Plant Inputs'!$BD$72+'[11]Plant Inputs'!$BE$72-'[11]Plant Inputs'!$BD$11-'[11]Plant Inputs'!$BE$11)</f>
        <v>1869</v>
      </c>
      <c r="H47" s="204"/>
      <c r="I47" s="205"/>
      <c r="J47" s="205"/>
      <c r="K47" s="205"/>
      <c r="L47" s="205"/>
      <c r="M47" s="101">
        <f>('[11]Plant Inputs'!$BF$72-'[11]Plant Inputs'!$BF$11)</f>
        <v>83600</v>
      </c>
      <c r="N47" s="145">
        <f>('[11]Plant Inputs'!$BG$72-'[11]Plant Inputs'!$BG$11)</f>
        <v>22620</v>
      </c>
      <c r="O47" s="152">
        <f>('[11]Plant Inputs'!$BJ$72-'[11]Plant Inputs'!$BJ$11)</f>
        <v>2704</v>
      </c>
      <c r="P47" s="213">
        <f t="shared" si="0"/>
        <v>5718</v>
      </c>
      <c r="Q47" s="158">
        <v>2326</v>
      </c>
      <c r="R47" s="159">
        <v>2242</v>
      </c>
      <c r="S47" s="159"/>
      <c r="T47" s="159">
        <v>1150</v>
      </c>
      <c r="U47" s="159"/>
      <c r="V47" s="148">
        <v>210155</v>
      </c>
      <c r="W47" s="188"/>
      <c r="X47" s="188"/>
      <c r="Y47" s="188"/>
      <c r="Z47" s="188"/>
      <c r="AA47" s="188"/>
      <c r="AB47" s="188"/>
      <c r="AC47" s="189">
        <v>240</v>
      </c>
      <c r="AD47" s="188">
        <v>1385</v>
      </c>
      <c r="AE47" s="213">
        <f t="shared" si="1"/>
        <v>1625</v>
      </c>
      <c r="AF47" s="148">
        <v>71212</v>
      </c>
      <c r="AK47" s="233"/>
      <c r="AO47" s="14">
        <v>80731.505805013192</v>
      </c>
      <c r="AP47" s="125">
        <f t="shared" si="4"/>
        <v>0.32981250839534765</v>
      </c>
      <c r="AQ47" s="118">
        <f>AVERAGE('[11]Plant Inputs'!$AX$11:$AX$72)</f>
        <v>1.68</v>
      </c>
      <c r="AR47" s="159">
        <v>29308</v>
      </c>
      <c r="AS47" s="159">
        <v>8744</v>
      </c>
      <c r="AT47" s="159"/>
      <c r="AU47" s="101">
        <f>AU46</f>
        <v>45583.333333333336</v>
      </c>
      <c r="AV47" s="125">
        <f t="shared" si="3"/>
        <v>0.47157447503881034</v>
      </c>
      <c r="AW47" s="125">
        <f t="shared" si="2"/>
        <v>0.44157610915924506</v>
      </c>
      <c r="AX47" s="125">
        <f t="shared" si="5"/>
        <v>2.9998365879565281E-2</v>
      </c>
      <c r="AY47" s="125">
        <f t="shared" si="6"/>
        <v>1.1310137031071792</v>
      </c>
      <c r="AZ47" s="125">
        <f t="shared" si="7"/>
        <v>0.77138861755459265</v>
      </c>
      <c r="BA47" s="125">
        <f t="shared" si="8"/>
        <v>0.60626680307392167</v>
      </c>
      <c r="BB47" s="125">
        <f t="shared" si="9"/>
        <v>0.7110919761441572</v>
      </c>
      <c r="BC47" s="14">
        <f t="shared" ref="BC47:BC54" si="10">BD47+BE47</f>
        <v>276849.53424657532</v>
      </c>
      <c r="BD47" s="14">
        <f t="shared" ref="BD47:BD54" si="11">$BD$4*BF47</f>
        <v>127410</v>
      </c>
      <c r="BE47" s="14">
        <f t="shared" ref="BE47:BE54" si="12">$BE$4*BF47</f>
        <v>149439.53424657535</v>
      </c>
      <c r="BF47" s="14">
        <v>31</v>
      </c>
      <c r="BH47" s="179">
        <f t="shared" ref="BH47:BH78" si="13">O47/(M47+N47)</f>
        <v>2.5456599510450009E-2</v>
      </c>
      <c r="BI47" s="179">
        <f t="shared" ref="BI47:BI78" si="14">AD47/(M47+N47)</f>
        <v>1.3038975710788929E-2</v>
      </c>
      <c r="BJ47" s="259">
        <f>1-BI47-BH47</f>
        <v>0.96150442477876108</v>
      </c>
      <c r="BK47" s="14"/>
      <c r="BL47" s="14"/>
      <c r="BM47" s="14"/>
    </row>
    <row r="48" spans="1:65" x14ac:dyDescent="0.2">
      <c r="A48" s="110">
        <f>A47+31</f>
        <v>40056</v>
      </c>
      <c r="B48" s="4">
        <v>236410</v>
      </c>
      <c r="C48" s="130">
        <v>4198</v>
      </c>
      <c r="D48" s="14">
        <v>19</v>
      </c>
      <c r="E48" s="14"/>
      <c r="F48" s="14"/>
      <c r="G48" s="165">
        <f>('[11]Plant Inputs'!$BD$134+'[11]Plant Inputs'!$BE$134-'[11]Plant Inputs'!$BD$72-'[11]Plant Inputs'!$BE$72)</f>
        <v>2032</v>
      </c>
      <c r="H48" s="204"/>
      <c r="I48" s="205"/>
      <c r="J48" s="205"/>
      <c r="K48" s="205"/>
      <c r="L48" s="205"/>
      <c r="M48" s="101">
        <f>('[11]Plant Inputs'!$BF$134-'[11]Plant Inputs'!$BF$72)</f>
        <v>58747</v>
      </c>
      <c r="N48" s="145">
        <f>('[11]Plant Inputs'!$BG$134-'[11]Plant Inputs'!$BG$72)</f>
        <v>6525</v>
      </c>
      <c r="O48" s="152">
        <f>('[11]Plant Inputs'!$BJ$134-'[11]Plant Inputs'!$BJ$72)</f>
        <v>1041</v>
      </c>
      <c r="P48" s="213">
        <f t="shared" si="0"/>
        <v>3904</v>
      </c>
      <c r="Q48" s="158">
        <v>1301</v>
      </c>
      <c r="R48" s="159">
        <v>1357</v>
      </c>
      <c r="S48" s="159"/>
      <c r="T48" s="159">
        <v>1246</v>
      </c>
      <c r="U48" s="159"/>
      <c r="V48" s="148">
        <v>197311</v>
      </c>
      <c r="W48" s="188"/>
      <c r="X48" s="188"/>
      <c r="Y48" s="188"/>
      <c r="Z48" s="188"/>
      <c r="AA48" s="188"/>
      <c r="AB48" s="188"/>
      <c r="AC48" s="187">
        <v>149</v>
      </c>
      <c r="AD48" s="188">
        <v>983</v>
      </c>
      <c r="AE48" s="213">
        <f t="shared" si="1"/>
        <v>1132</v>
      </c>
      <c r="AF48" s="148">
        <v>68796</v>
      </c>
      <c r="AK48" s="233"/>
      <c r="AO48" s="14">
        <v>113970.34638160563</v>
      </c>
      <c r="AP48" s="125">
        <f t="shared" si="4"/>
        <v>0.48208767134049163</v>
      </c>
      <c r="AQ48" s="118">
        <f>AVERAGE('[11]Plant Inputs'!$AX$73:$AX$134)</f>
        <v>1.6786440677966101</v>
      </c>
      <c r="AR48" s="159">
        <v>27024</v>
      </c>
      <c r="AS48" s="159">
        <v>10129</v>
      </c>
      <c r="AT48" s="159"/>
      <c r="AU48" s="101">
        <f t="shared" ref="AU48:AU64" si="15">AU47</f>
        <v>45583.333333333336</v>
      </c>
      <c r="AV48" s="125">
        <f t="shared" si="3"/>
        <v>0.30599382428831268</v>
      </c>
      <c r="AW48" s="125">
        <f t="shared" si="2"/>
        <v>0.28469184890656063</v>
      </c>
      <c r="AX48" s="125">
        <f t="shared" si="5"/>
        <v>2.1301975381752047E-2</v>
      </c>
      <c r="AY48" s="125">
        <f t="shared" si="6"/>
        <v>1.171056783751006</v>
      </c>
      <c r="AZ48" s="125">
        <f t="shared" si="7"/>
        <v>0.76677952024705232</v>
      </c>
      <c r="BA48" s="125">
        <f t="shared" si="8"/>
        <v>0.64573186492390189</v>
      </c>
      <c r="BB48" s="125">
        <f t="shared" si="9"/>
        <v>0.75738065412762268</v>
      </c>
      <c r="BC48" s="14">
        <f t="shared" si="10"/>
        <v>276849.53424657532</v>
      </c>
      <c r="BD48" s="14">
        <f t="shared" si="11"/>
        <v>127410</v>
      </c>
      <c r="BE48" s="14">
        <f t="shared" si="12"/>
        <v>149439.53424657535</v>
      </c>
      <c r="BF48" s="14">
        <v>31</v>
      </c>
      <c r="BH48" s="179">
        <f t="shared" si="13"/>
        <v>1.5948645667361195E-2</v>
      </c>
      <c r="BI48" s="179">
        <f t="shared" si="14"/>
        <v>1.5060056379458267E-2</v>
      </c>
      <c r="BJ48" s="259">
        <f t="shared" ref="BJ48:BJ68" si="16">1-BI48-BH48</f>
        <v>0.96899129795318051</v>
      </c>
      <c r="BK48" s="14"/>
      <c r="BL48" s="14"/>
      <c r="BM48" s="14"/>
    </row>
    <row r="49" spans="1:188" x14ac:dyDescent="0.2">
      <c r="A49" s="110">
        <f>A48+30</f>
        <v>40086</v>
      </c>
      <c r="B49" s="4">
        <v>255330</v>
      </c>
      <c r="C49" s="130">
        <v>3238</v>
      </c>
      <c r="D49" s="14">
        <v>17</v>
      </c>
      <c r="E49" s="14"/>
      <c r="F49" s="14"/>
      <c r="G49" s="165">
        <f>('[11]Plant Inputs'!$BD$194+'[11]Plant Inputs'!$BE$194-'[11]Plant Inputs'!$BD$134-'[11]Plant Inputs'!$BE$134)</f>
        <v>1975</v>
      </c>
      <c r="H49" s="204"/>
      <c r="I49" s="205"/>
      <c r="J49" s="205"/>
      <c r="K49" s="205"/>
      <c r="L49" s="205"/>
      <c r="M49" s="101">
        <f>('[11]Plant Inputs'!$BF$194-'[11]Plant Inputs'!$BF$134)</f>
        <v>78046</v>
      </c>
      <c r="N49" s="145">
        <f>('[11]Plant Inputs'!$BG$194-'[11]Plant Inputs'!$BG$134)</f>
        <v>14332</v>
      </c>
      <c r="O49" s="152">
        <f>('[11]Plant Inputs'!$BJ$194-'[11]Plant Inputs'!$BJ$134)</f>
        <v>4639</v>
      </c>
      <c r="P49" s="213">
        <f t="shared" si="0"/>
        <v>7304</v>
      </c>
      <c r="Q49" s="158">
        <v>1751</v>
      </c>
      <c r="R49" s="159">
        <v>3787</v>
      </c>
      <c r="S49" s="159"/>
      <c r="T49" s="159">
        <v>1766</v>
      </c>
      <c r="U49" s="159"/>
      <c r="V49" s="148">
        <v>200396</v>
      </c>
      <c r="W49" s="188"/>
      <c r="X49" s="188"/>
      <c r="Y49" s="188"/>
      <c r="Z49" s="188"/>
      <c r="AA49" s="188"/>
      <c r="AB49" s="188"/>
      <c r="AC49" s="187">
        <v>343</v>
      </c>
      <c r="AD49" s="188">
        <v>1317</v>
      </c>
      <c r="AE49" s="213">
        <f t="shared" si="1"/>
        <v>1660</v>
      </c>
      <c r="AF49" s="148">
        <v>68265</v>
      </c>
      <c r="AK49" s="233"/>
      <c r="AO49" s="14">
        <v>112479.27282822049</v>
      </c>
      <c r="AP49" s="125">
        <f t="shared" si="4"/>
        <v>0.44052509626060588</v>
      </c>
      <c r="AQ49" s="118">
        <f>AVERAGE('[11]Plant Inputs'!$AX$135:$AX$194)</f>
        <v>1.6596666666666671</v>
      </c>
      <c r="AR49" s="159">
        <v>26959</v>
      </c>
      <c r="AS49" s="159">
        <v>8332</v>
      </c>
      <c r="AT49" s="159"/>
      <c r="AU49" s="101">
        <f t="shared" si="15"/>
        <v>45583.333333333336</v>
      </c>
      <c r="AV49" s="125">
        <f t="shared" si="3"/>
        <v>0.40464105275525791</v>
      </c>
      <c r="AW49" s="125">
        <f t="shared" si="2"/>
        <v>0.36953354482434497</v>
      </c>
      <c r="AX49" s="125">
        <f t="shared" si="5"/>
        <v>3.510750793091294E-2</v>
      </c>
      <c r="AY49" s="125">
        <f t="shared" si="6"/>
        <v>1.04930444565695</v>
      </c>
      <c r="AZ49" s="125">
        <f t="shared" si="7"/>
        <v>0.81005864108495085</v>
      </c>
      <c r="BA49" s="125">
        <f t="shared" si="8"/>
        <v>0.61528174215054188</v>
      </c>
      <c r="BB49" s="125">
        <f t="shared" si="9"/>
        <v>0.72166562261516709</v>
      </c>
      <c r="BC49" s="14">
        <f t="shared" si="10"/>
        <v>267918.90410958906</v>
      </c>
      <c r="BD49" s="14">
        <f t="shared" si="11"/>
        <v>123300</v>
      </c>
      <c r="BE49" s="14">
        <f t="shared" si="12"/>
        <v>144618.90410958903</v>
      </c>
      <c r="BF49" s="14">
        <v>30</v>
      </c>
      <c r="BH49" s="179">
        <f t="shared" si="13"/>
        <v>5.0217584273311827E-2</v>
      </c>
      <c r="BI49" s="179">
        <f t="shared" si="14"/>
        <v>1.4256641191625712E-2</v>
      </c>
      <c r="BJ49" s="259">
        <f t="shared" si="16"/>
        <v>0.93552577453506247</v>
      </c>
      <c r="BK49" s="14">
        <f t="shared" ref="BK49:BK80" si="17">SUM(G49,M49,N49:O49,P49,AE49,AO49,AR49,AS49)</f>
        <v>255726.27282822051</v>
      </c>
      <c r="BL49" s="14"/>
      <c r="BM49" s="14"/>
    </row>
    <row r="50" spans="1:188" x14ac:dyDescent="0.2">
      <c r="A50" s="110">
        <f>A49+30</f>
        <v>40116</v>
      </c>
      <c r="B50" s="4">
        <v>257464</v>
      </c>
      <c r="C50" s="130">
        <v>2535</v>
      </c>
      <c r="D50" s="14">
        <v>15</v>
      </c>
      <c r="E50" s="14"/>
      <c r="F50" s="14"/>
      <c r="G50" s="165">
        <f>('[11]Plant Inputs'!$BD$256+'[11]Plant Inputs'!$BE$256-'[11]Plant Inputs'!$BD$194-'[11]Plant Inputs'!$BE$194)</f>
        <v>1662</v>
      </c>
      <c r="H50" s="204"/>
      <c r="I50" s="205"/>
      <c r="J50" s="205"/>
      <c r="K50" s="205"/>
      <c r="L50" s="205"/>
      <c r="M50" s="101">
        <f>('[11]Plant Inputs'!$BF$256-'[11]Plant Inputs'!$BF$194)</f>
        <v>85489</v>
      </c>
      <c r="N50" s="145">
        <f>('[11]Plant Inputs'!$BG$256-'[11]Plant Inputs'!$BG$194)</f>
        <v>50172</v>
      </c>
      <c r="O50" s="152">
        <f>('[11]Plant Inputs'!$BJ$256-'[11]Plant Inputs'!$BJ$194)</f>
        <v>6139</v>
      </c>
      <c r="P50" s="213">
        <f t="shared" si="0"/>
        <v>6505</v>
      </c>
      <c r="Q50" s="158">
        <v>2316</v>
      </c>
      <c r="R50" s="159">
        <v>1846</v>
      </c>
      <c r="S50" s="159"/>
      <c r="T50" s="159">
        <v>2343</v>
      </c>
      <c r="U50" s="159"/>
      <c r="V50" s="148">
        <v>124595</v>
      </c>
      <c r="W50" s="188"/>
      <c r="X50" s="188"/>
      <c r="Y50" s="188"/>
      <c r="Z50" s="188"/>
      <c r="AA50" s="188"/>
      <c r="AB50" s="188"/>
      <c r="AC50" s="187">
        <v>216</v>
      </c>
      <c r="AD50" s="188">
        <v>1177</v>
      </c>
      <c r="AE50" s="213">
        <f t="shared" si="1"/>
        <v>1393</v>
      </c>
      <c r="AF50" s="148">
        <v>47480</v>
      </c>
      <c r="AK50" s="233"/>
      <c r="AO50" s="14">
        <v>64599.245129451359</v>
      </c>
      <c r="AP50" s="125">
        <f t="shared" si="4"/>
        <v>0.25090593298267472</v>
      </c>
      <c r="AQ50" s="118">
        <f>AVERAGE('[11]Plant Inputs'!$AX$73:$AX$134)</f>
        <v>1.6786440677966101</v>
      </c>
      <c r="AR50" s="159">
        <v>25280</v>
      </c>
      <c r="AS50" s="159">
        <f>[13]Summary!I9</f>
        <v>8744</v>
      </c>
      <c r="AT50" s="159"/>
      <c r="AU50" s="101">
        <f t="shared" si="15"/>
        <v>45583.333333333336</v>
      </c>
      <c r="AV50" s="125">
        <f t="shared" si="3"/>
        <v>0.56404390516732439</v>
      </c>
      <c r="AW50" s="125">
        <f t="shared" si="2"/>
        <v>0.53336777180499018</v>
      </c>
      <c r="AX50" s="125">
        <f t="shared" si="5"/>
        <v>3.0676133362334213E-2</v>
      </c>
      <c r="AY50" s="125">
        <f t="shared" si="6"/>
        <v>1.0752941547034744</v>
      </c>
      <c r="AZ50" s="125">
        <f t="shared" si="7"/>
        <v>0.78427370478766489</v>
      </c>
      <c r="BA50" s="125">
        <f t="shared" si="8"/>
        <v>1.0225932019743971</v>
      </c>
      <c r="BB50" s="125">
        <f t="shared" si="9"/>
        <v>1.1994023375462526</v>
      </c>
      <c r="BC50" s="14">
        <f t="shared" si="10"/>
        <v>276849.53424657532</v>
      </c>
      <c r="BD50" s="14">
        <f t="shared" si="11"/>
        <v>127410</v>
      </c>
      <c r="BE50" s="14">
        <f t="shared" si="12"/>
        <v>149439.53424657535</v>
      </c>
      <c r="BF50" s="14">
        <v>31</v>
      </c>
      <c r="BH50" s="179">
        <f t="shared" si="13"/>
        <v>4.525250440436087E-2</v>
      </c>
      <c r="BI50" s="179">
        <f t="shared" si="14"/>
        <v>8.6760380654720224E-3</v>
      </c>
      <c r="BJ50" s="259">
        <f t="shared" si="16"/>
        <v>0.94607145753016708</v>
      </c>
      <c r="BK50" s="14">
        <f t="shared" si="17"/>
        <v>249983.24512945136</v>
      </c>
      <c r="BL50" s="14"/>
      <c r="BM50" s="14"/>
    </row>
    <row r="51" spans="1:188" x14ac:dyDescent="0.2">
      <c r="A51" s="110">
        <f>A50+31</f>
        <v>40147</v>
      </c>
      <c r="B51" s="4">
        <v>239440</v>
      </c>
      <c r="C51" s="130">
        <v>2613</v>
      </c>
      <c r="D51" s="14">
        <v>16</v>
      </c>
      <c r="E51" s="14"/>
      <c r="F51" s="14"/>
      <c r="G51" s="165">
        <f>('[11]Plant Inputs'!$BD$316+'[11]Plant Inputs'!$BE$316-'[11]Plant Inputs'!$BD$256-'[11]Plant Inputs'!$BE$256)</f>
        <v>1560</v>
      </c>
      <c r="H51" s="204"/>
      <c r="I51" s="205"/>
      <c r="J51" s="205"/>
      <c r="K51" s="205"/>
      <c r="L51" s="205"/>
      <c r="M51" s="101">
        <f>('[11]Plant Inputs'!$BF$316-'[11]Plant Inputs'!$BF$256)</f>
        <v>43565</v>
      </c>
      <c r="N51" s="145">
        <f>('[11]Plant Inputs'!$BG$316-'[11]Plant Inputs'!$BG$256)</f>
        <v>47226</v>
      </c>
      <c r="O51" s="152">
        <f>('[11]Plant Inputs'!$BJ$316-'[11]Plant Inputs'!$BJ$256)</f>
        <v>6459</v>
      </c>
      <c r="P51" s="213">
        <f t="shared" si="0"/>
        <v>5413</v>
      </c>
      <c r="Q51" s="158">
        <v>1728</v>
      </c>
      <c r="R51" s="159">
        <v>1838</v>
      </c>
      <c r="S51" s="159"/>
      <c r="T51" s="159">
        <v>1847</v>
      </c>
      <c r="U51" s="159"/>
      <c r="V51" s="148">
        <v>168925</v>
      </c>
      <c r="W51" s="188"/>
      <c r="X51" s="188"/>
      <c r="Y51" s="188"/>
      <c r="Z51" s="188"/>
      <c r="AA51" s="188"/>
      <c r="AB51" s="188"/>
      <c r="AC51" s="187">
        <v>231</v>
      </c>
      <c r="AD51" s="188">
        <v>1086</v>
      </c>
      <c r="AE51" s="213">
        <f t="shared" si="1"/>
        <v>1317</v>
      </c>
      <c r="AF51" s="148">
        <v>59962</v>
      </c>
      <c r="AK51" s="233"/>
      <c r="AO51" s="14">
        <v>103628.9378676932</v>
      </c>
      <c r="AP51" s="125">
        <f t="shared" si="4"/>
        <v>0.43279710101776309</v>
      </c>
      <c r="AQ51" s="118">
        <f>AVERAGE('[11]Plant Inputs'!$AX$135:$AX$194)</f>
        <v>1.6596666666666671</v>
      </c>
      <c r="AR51" s="159">
        <v>26802</v>
      </c>
      <c r="AS51" s="159">
        <f>[13]Summary!I10</f>
        <v>10129</v>
      </c>
      <c r="AT51" s="159"/>
      <c r="AU51" s="101">
        <f t="shared" si="15"/>
        <v>45583.333333333336</v>
      </c>
      <c r="AV51" s="125">
        <f t="shared" si="3"/>
        <v>0.41380304042766453</v>
      </c>
      <c r="AW51" s="125">
        <f t="shared" si="2"/>
        <v>0.38569579017707983</v>
      </c>
      <c r="AX51" s="125">
        <f t="shared" si="5"/>
        <v>2.8107250250584692E-2</v>
      </c>
      <c r="AY51" s="125">
        <f t="shared" si="6"/>
        <v>1.1189396262512072</v>
      </c>
      <c r="AZ51" s="125">
        <f t="shared" si="7"/>
        <v>0.81849289119484292</v>
      </c>
      <c r="BA51" s="125">
        <f t="shared" si="8"/>
        <v>0.72990972324996295</v>
      </c>
      <c r="BB51" s="125">
        <f t="shared" si="9"/>
        <v>0.85611309225744581</v>
      </c>
      <c r="BC51" s="14">
        <f t="shared" si="10"/>
        <v>267918.90410958906</v>
      </c>
      <c r="BD51" s="14">
        <f t="shared" si="11"/>
        <v>123300</v>
      </c>
      <c r="BE51" s="14">
        <f t="shared" si="12"/>
        <v>144618.90410958903</v>
      </c>
      <c r="BF51" s="14">
        <v>30</v>
      </c>
      <c r="BH51" s="179">
        <f t="shared" si="13"/>
        <v>7.1141412695090916E-2</v>
      </c>
      <c r="BI51" s="179">
        <f t="shared" si="14"/>
        <v>1.1961538037911246E-2</v>
      </c>
      <c r="BJ51" s="259">
        <f t="shared" si="16"/>
        <v>0.91689704926699789</v>
      </c>
      <c r="BK51" s="14">
        <f t="shared" si="17"/>
        <v>246099.9378676932</v>
      </c>
      <c r="BL51" s="14"/>
      <c r="BM51" s="14"/>
    </row>
    <row r="52" spans="1:188" x14ac:dyDescent="0.2">
      <c r="A52" s="110">
        <f>A51+30</f>
        <v>40177</v>
      </c>
      <c r="B52" s="174">
        <v>243143</v>
      </c>
      <c r="C52" s="130">
        <v>1874</v>
      </c>
      <c r="D52" s="111">
        <v>15</v>
      </c>
      <c r="E52" s="111"/>
      <c r="F52" s="111"/>
      <c r="G52" s="166">
        <f>('[11]Plant Inputs'!$BD$378+'[11]Plant Inputs'!$BE$378-'[11]Plant Inputs'!$BD$316-'[11]Plant Inputs'!$BE$316)</f>
        <v>1824</v>
      </c>
      <c r="H52" s="206"/>
      <c r="I52" s="207"/>
      <c r="J52" s="207"/>
      <c r="K52" s="207"/>
      <c r="L52" s="207"/>
      <c r="M52" s="127">
        <f>('[11]Plant Inputs'!$BF$378-'[11]Plant Inputs'!$BF$316)</f>
        <v>64544</v>
      </c>
      <c r="N52" s="146">
        <f>('[11]Plant Inputs'!$BG$378-'[11]Plant Inputs'!$BG$316)</f>
        <v>42179</v>
      </c>
      <c r="O52" s="153">
        <f>('[11]Plant Inputs'!$BJ$378-'[11]Plant Inputs'!$BJ$316)</f>
        <v>550</v>
      </c>
      <c r="P52" s="213">
        <f t="shared" si="0"/>
        <v>5923</v>
      </c>
      <c r="Q52" s="158">
        <v>2600</v>
      </c>
      <c r="R52" s="159">
        <v>1705</v>
      </c>
      <c r="S52" s="159"/>
      <c r="T52" s="159">
        <v>1618</v>
      </c>
      <c r="U52" s="159"/>
      <c r="V52" s="148">
        <v>99426</v>
      </c>
      <c r="W52" s="190"/>
      <c r="X52" s="190"/>
      <c r="Y52" s="190"/>
      <c r="Z52" s="190"/>
      <c r="AA52" s="190"/>
      <c r="AB52" s="190"/>
      <c r="AC52" s="191">
        <v>339</v>
      </c>
      <c r="AD52" s="188">
        <v>1038</v>
      </c>
      <c r="AE52" s="213">
        <f t="shared" si="1"/>
        <v>1377</v>
      </c>
      <c r="AF52" s="148">
        <v>36614</v>
      </c>
      <c r="AK52" s="233"/>
      <c r="AO52" s="111">
        <v>77060.617253778342</v>
      </c>
      <c r="AP52" s="125">
        <f t="shared" si="4"/>
        <v>0.31693537240956288</v>
      </c>
      <c r="AQ52" s="128">
        <f>AVERAGE('[11]Plant Inputs'!$AX$195:$AX$256)</f>
        <v>1.6780327868852456</v>
      </c>
      <c r="AR52" s="159">
        <v>17137</v>
      </c>
      <c r="AS52" s="159">
        <f>[13]Summary!I11</f>
        <v>8332</v>
      </c>
      <c r="AT52" s="219"/>
      <c r="AU52" s="127">
        <f t="shared" si="15"/>
        <v>45583.333333333336</v>
      </c>
      <c r="AV52" s="125">
        <f t="shared" si="3"/>
        <v>0.47645624180009294</v>
      </c>
      <c r="AW52" s="129">
        <f t="shared" si="2"/>
        <v>0.44643275767758067</v>
      </c>
      <c r="AX52" s="129">
        <f t="shared" si="5"/>
        <v>3.0023484122512267E-2</v>
      </c>
      <c r="AY52" s="129">
        <f t="shared" si="6"/>
        <v>1.1386284377776672</v>
      </c>
      <c r="AZ52" s="129">
        <f t="shared" si="7"/>
        <v>0.76336813008714344</v>
      </c>
      <c r="BA52" s="129">
        <f t="shared" si="8"/>
        <v>1.2814555548850401</v>
      </c>
      <c r="BB52" s="129">
        <f t="shared" si="9"/>
        <v>1.5030226927219776</v>
      </c>
      <c r="BC52" s="111">
        <f t="shared" si="10"/>
        <v>276849.53424657532</v>
      </c>
      <c r="BD52" s="111">
        <f t="shared" si="11"/>
        <v>127410</v>
      </c>
      <c r="BE52" s="111">
        <f t="shared" si="12"/>
        <v>149439.53424657535</v>
      </c>
      <c r="BF52" s="111">
        <v>31</v>
      </c>
      <c r="BH52" s="179">
        <f t="shared" si="13"/>
        <v>5.1535282928703279E-3</v>
      </c>
      <c r="BI52" s="179">
        <f t="shared" si="14"/>
        <v>9.7261133963625467E-3</v>
      </c>
      <c r="BJ52" s="259">
        <f t="shared" si="16"/>
        <v>0.98512035831076716</v>
      </c>
      <c r="BK52" s="14">
        <f t="shared" si="17"/>
        <v>218926.61725377833</v>
      </c>
      <c r="BL52" s="14"/>
      <c r="BM52" s="14"/>
    </row>
    <row r="53" spans="1:188" x14ac:dyDescent="0.2">
      <c r="A53" s="135">
        <f>A52+31</f>
        <v>40208</v>
      </c>
      <c r="B53" s="4">
        <v>221144</v>
      </c>
      <c r="C53" s="130">
        <v>2862</v>
      </c>
      <c r="D53" s="14">
        <v>15</v>
      </c>
      <c r="E53" s="14"/>
      <c r="F53" s="14"/>
      <c r="G53" s="165">
        <f>('[11]Plant Inputs'!$BD$440+'[11]Plant Inputs'!$BE$440-'[11]Plant Inputs'!$BD$378-'[11]Plant Inputs'!$BE$378)</f>
        <v>1492</v>
      </c>
      <c r="H53" s="204"/>
      <c r="I53" s="205"/>
      <c r="J53" s="205"/>
      <c r="K53" s="205"/>
      <c r="L53" s="205"/>
      <c r="M53" s="101">
        <f>('[11]Plant Inputs'!$BF$440-'[11]Plant Inputs'!$BF$378)</f>
        <v>66385</v>
      </c>
      <c r="N53" s="145">
        <f>('[11]Plant Inputs'!$BG$440-'[11]Plant Inputs'!$BG$378)</f>
        <v>23596</v>
      </c>
      <c r="O53" s="152">
        <f>('[11]Plant Inputs'!$BJ$440-'[11]Plant Inputs'!$BJ$378)</f>
        <v>6197</v>
      </c>
      <c r="P53" s="213">
        <f t="shared" si="0"/>
        <v>3527</v>
      </c>
      <c r="Q53" s="158">
        <v>1211</v>
      </c>
      <c r="R53" s="159">
        <v>416</v>
      </c>
      <c r="S53" s="159"/>
      <c r="T53" s="159">
        <v>1900</v>
      </c>
      <c r="U53" s="159"/>
      <c r="V53" s="148">
        <v>128617.13000000002</v>
      </c>
      <c r="W53" s="188"/>
      <c r="X53" s="188"/>
      <c r="Y53" s="188"/>
      <c r="Z53" s="188"/>
      <c r="AA53" s="188"/>
      <c r="AB53" s="188"/>
      <c r="AC53" s="187">
        <v>333</v>
      </c>
      <c r="AD53" s="188">
        <v>1245</v>
      </c>
      <c r="AE53" s="213">
        <f t="shared" si="1"/>
        <v>1578</v>
      </c>
      <c r="AF53" s="148">
        <v>49238</v>
      </c>
      <c r="AG53" s="14"/>
      <c r="AH53" s="14"/>
      <c r="AI53" s="14"/>
      <c r="AJ53" s="167"/>
      <c r="AK53" s="233"/>
      <c r="AL53" s="170"/>
      <c r="AM53" s="14"/>
      <c r="AN53" s="14"/>
      <c r="AO53" s="14">
        <v>84226.301865722678</v>
      </c>
      <c r="AP53" s="125">
        <f t="shared" si="4"/>
        <v>0.38086632178907265</v>
      </c>
      <c r="AQ53" s="118">
        <f>AVERAGE('[11]Plant Inputs'!$AX$257:$AX$316)</f>
        <v>1.6792982456140346</v>
      </c>
      <c r="AR53" s="159">
        <v>20009</v>
      </c>
      <c r="AS53" s="159">
        <f>[13]Summary!I12</f>
        <v>8559</v>
      </c>
      <c r="AT53" s="159"/>
      <c r="AU53" s="101">
        <f t="shared" si="15"/>
        <v>45583.333333333336</v>
      </c>
      <c r="AV53" s="125">
        <f t="shared" si="3"/>
        <v>0.43671996527149731</v>
      </c>
      <c r="AW53" s="125">
        <f t="shared" si="2"/>
        <v>0.41363545924827261</v>
      </c>
      <c r="AX53" s="125">
        <f t="shared" si="5"/>
        <v>2.3084506023224705E-2</v>
      </c>
      <c r="AY53" s="125">
        <f t="shared" si="6"/>
        <v>1.2518971088818838</v>
      </c>
      <c r="AZ53" s="125">
        <f t="shared" si="7"/>
        <v>0.79450178103734537</v>
      </c>
      <c r="BA53" s="125">
        <f t="shared" si="8"/>
        <v>0.99061454722244213</v>
      </c>
      <c r="BB53" s="125">
        <f t="shared" si="9"/>
        <v>1.1618944867341958</v>
      </c>
      <c r="BC53" s="14">
        <f t="shared" si="10"/>
        <v>276849.53424657532</v>
      </c>
      <c r="BD53" s="14">
        <f t="shared" si="11"/>
        <v>127410</v>
      </c>
      <c r="BE53" s="14">
        <f t="shared" si="12"/>
        <v>149439.53424657535</v>
      </c>
      <c r="BF53" s="14">
        <v>31</v>
      </c>
      <c r="BH53" s="179">
        <f t="shared" si="13"/>
        <v>6.8870094797790646E-2</v>
      </c>
      <c r="BI53" s="179">
        <f t="shared" si="14"/>
        <v>1.383625432035652E-2</v>
      </c>
      <c r="BJ53" s="259">
        <f t="shared" si="16"/>
        <v>0.91729365088185288</v>
      </c>
      <c r="BK53" s="14">
        <f t="shared" si="17"/>
        <v>215569.30186572269</v>
      </c>
      <c r="BL53" s="14"/>
      <c r="BM53" s="14"/>
    </row>
    <row r="54" spans="1:188" s="134" customFormat="1" x14ac:dyDescent="0.2">
      <c r="A54" s="135">
        <f>A53+28</f>
        <v>40236</v>
      </c>
      <c r="B54" s="4">
        <v>231832</v>
      </c>
      <c r="C54" s="101">
        <f>2940/(1-D54/100)</f>
        <v>3512.9645118891149</v>
      </c>
      <c r="D54" s="101">
        <v>16.309999999999999</v>
      </c>
      <c r="E54" s="101"/>
      <c r="F54" s="101"/>
      <c r="G54" s="165">
        <f>('[11]Plant Inputs'!$BD$476+'[11]Plant Inputs'!$BE$476-'[11]Plant Inputs'!$BD$440-'[11]Plant Inputs'!$BE$440)*28/18</f>
        <v>1711.1111111111111</v>
      </c>
      <c r="H54" s="204"/>
      <c r="I54" s="205"/>
      <c r="J54" s="205"/>
      <c r="K54" s="205"/>
      <c r="L54" s="205"/>
      <c r="M54" s="101">
        <f>AVERAGE(M50:M53)</f>
        <v>64995.75</v>
      </c>
      <c r="N54" s="145">
        <f>AVERAGE(N50:N53)</f>
        <v>40793.25</v>
      </c>
      <c r="O54" s="152">
        <f>('[11]Plant Inputs'!$BJ$496-'[11]Plant Inputs'!$BJ$440)</f>
        <v>7480</v>
      </c>
      <c r="P54" s="213">
        <f t="shared" si="0"/>
        <v>4645</v>
      </c>
      <c r="Q54" s="158">
        <v>433</v>
      </c>
      <c r="R54" s="159">
        <v>476</v>
      </c>
      <c r="S54" s="159"/>
      <c r="T54" s="159">
        <v>3736</v>
      </c>
      <c r="U54" s="159"/>
      <c r="V54" s="148">
        <v>178548.16000000003</v>
      </c>
      <c r="W54" s="188"/>
      <c r="X54" s="188"/>
      <c r="Y54" s="188"/>
      <c r="Z54" s="188"/>
      <c r="AA54" s="188"/>
      <c r="AB54" s="188"/>
      <c r="AC54" s="187">
        <v>340</v>
      </c>
      <c r="AD54" s="188">
        <v>1225</v>
      </c>
      <c r="AE54" s="213">
        <f t="shared" si="1"/>
        <v>1565</v>
      </c>
      <c r="AF54" s="148">
        <v>60213</v>
      </c>
      <c r="AG54" s="14"/>
      <c r="AH54" s="14"/>
      <c r="AI54" s="14"/>
      <c r="AJ54" s="167"/>
      <c r="AK54" s="233"/>
      <c r="AL54" s="170"/>
      <c r="AM54" s="14"/>
      <c r="AN54" s="14"/>
      <c r="AO54" s="14">
        <v>84723.95289705928</v>
      </c>
      <c r="AP54" s="125">
        <f t="shared" si="4"/>
        <v>0.36545409131206769</v>
      </c>
      <c r="AQ54" s="118">
        <f>AVERAGE('[11]Plant Inputs'!$AX$440:$AX$496)</f>
        <v>1.6594642857142865</v>
      </c>
      <c r="AR54" s="159">
        <f>'[12]Water Reading'!$E$223</f>
        <v>36414</v>
      </c>
      <c r="AS54" s="159">
        <f>[13]Summary!I14</f>
        <v>5821</v>
      </c>
      <c r="AT54" s="159"/>
      <c r="AU54" s="101">
        <f t="shared" si="15"/>
        <v>45583.333333333336</v>
      </c>
      <c r="AV54" s="125">
        <f t="shared" si="3"/>
        <v>0.4904849680419921</v>
      </c>
      <c r="AW54" s="125">
        <f t="shared" si="2"/>
        <v>0.46369832944162631</v>
      </c>
      <c r="AX54" s="125">
        <f t="shared" si="5"/>
        <v>2.6786638600365786E-2</v>
      </c>
      <c r="AY54" s="125">
        <f t="shared" si="6"/>
        <v>1.0786157382743384</v>
      </c>
      <c r="AZ54" s="125">
        <f t="shared" si="7"/>
        <v>0.829152420753694</v>
      </c>
      <c r="BA54" s="125">
        <f t="shared" si="8"/>
        <v>0.6445319850957858</v>
      </c>
      <c r="BB54" s="125">
        <f t="shared" si="9"/>
        <v>0.75597331182587613</v>
      </c>
      <c r="BC54" s="14">
        <f t="shared" si="10"/>
        <v>250057.64383561644</v>
      </c>
      <c r="BD54" s="14">
        <f t="shared" si="11"/>
        <v>115080</v>
      </c>
      <c r="BE54" s="14">
        <f t="shared" si="12"/>
        <v>134977.64383561644</v>
      </c>
      <c r="BF54" s="14">
        <v>28</v>
      </c>
      <c r="BH54" s="179">
        <f t="shared" si="13"/>
        <v>7.0706784259233005E-2</v>
      </c>
      <c r="BI54" s="179">
        <f t="shared" si="14"/>
        <v>1.1579653839246046E-2</v>
      </c>
      <c r="BJ54" s="259">
        <f t="shared" si="16"/>
        <v>0.91771356190152087</v>
      </c>
      <c r="BK54" s="14">
        <f t="shared" si="17"/>
        <v>248149.06400817039</v>
      </c>
      <c r="BL54" s="14"/>
      <c r="BM54" s="14"/>
    </row>
    <row r="55" spans="1:188" s="134" customFormat="1" x14ac:dyDescent="0.2">
      <c r="A55" s="135">
        <f>A54+28</f>
        <v>40264</v>
      </c>
      <c r="B55" s="7">
        <f>[14]Calculation!$D$552</f>
        <v>252141.46979999996</v>
      </c>
      <c r="C55" s="101">
        <f>[14]Calculation!$H$552/(1-16.5%)</f>
        <v>4049.2641197604794</v>
      </c>
      <c r="D55" s="101">
        <v>16.5</v>
      </c>
      <c r="E55" s="101"/>
      <c r="F55" s="101"/>
      <c r="G55" s="165">
        <f>G54*31/28</f>
        <v>1894.4444444444446</v>
      </c>
      <c r="H55" s="204"/>
      <c r="I55" s="205"/>
      <c r="J55" s="205"/>
      <c r="K55" s="205"/>
      <c r="L55" s="205"/>
      <c r="M55" s="101">
        <f>AVERAGE(M51:M54)</f>
        <v>59872.4375</v>
      </c>
      <c r="N55" s="145">
        <f>AVERAGE(N51:N54)</f>
        <v>38448.5625</v>
      </c>
      <c r="O55" s="152">
        <f>('[11]Plant Inputs'!$BJ$558-'[11]Plant Inputs'!$BJ$498)</f>
        <v>2252</v>
      </c>
      <c r="P55" s="213">
        <f t="shared" si="0"/>
        <v>1943</v>
      </c>
      <c r="Q55" s="158">
        <v>2</v>
      </c>
      <c r="R55" s="159">
        <v>1186</v>
      </c>
      <c r="S55" s="159"/>
      <c r="T55" s="159">
        <v>755</v>
      </c>
      <c r="U55" s="159"/>
      <c r="V55" s="148">
        <f>[15]Daily_OPS_Rep!$J$22</f>
        <v>100783.67</v>
      </c>
      <c r="W55" s="188"/>
      <c r="X55" s="188"/>
      <c r="Y55" s="188"/>
      <c r="Z55" s="188"/>
      <c r="AA55" s="188"/>
      <c r="AB55" s="188"/>
      <c r="AC55" s="187">
        <v>248</v>
      </c>
      <c r="AD55" s="188">
        <v>1506</v>
      </c>
      <c r="AE55" s="213">
        <f t="shared" si="1"/>
        <v>1754</v>
      </c>
      <c r="AF55" s="148">
        <f>[15]Daily_OPS_Rep!$J$23</f>
        <v>38265</v>
      </c>
      <c r="AG55" s="14"/>
      <c r="AH55" s="14"/>
      <c r="AI55" s="14"/>
      <c r="AJ55" s="167"/>
      <c r="AK55" s="233"/>
      <c r="AL55" s="170"/>
      <c r="AM55" s="14"/>
      <c r="AN55" s="14"/>
      <c r="AO55" s="14">
        <v>107039.25176659341</v>
      </c>
      <c r="AP55" s="125">
        <f t="shared" si="4"/>
        <v>0.42452061476240921</v>
      </c>
      <c r="AQ55" s="118">
        <f>AVERAGE('[11]Plant Inputs'!$AX$455:$AX$496)</f>
        <v>1.6500000000000001</v>
      </c>
      <c r="AR55" s="159">
        <f>'[16]MARCH 10'!$E$752</f>
        <v>43341</v>
      </c>
      <c r="AS55" s="159">
        <f>'[13]Mar 10'!$H$71</f>
        <v>14061</v>
      </c>
      <c r="AT55" s="159"/>
      <c r="AU55" s="101">
        <f t="shared" si="15"/>
        <v>45583.333333333336</v>
      </c>
      <c r="AV55" s="125">
        <f t="shared" si="3"/>
        <v>0.41211961097422162</v>
      </c>
      <c r="AW55" s="125">
        <f t="shared" si="2"/>
        <v>0.39745720735242757</v>
      </c>
      <c r="AX55" s="125">
        <f t="shared" si="5"/>
        <v>1.4662403621794051E-2</v>
      </c>
      <c r="AY55" s="125">
        <f t="shared" si="6"/>
        <v>1.0271546135510106</v>
      </c>
      <c r="AZ55" s="125">
        <f t="shared" si="7"/>
        <v>0.82197782211483683</v>
      </c>
      <c r="BA55" s="125">
        <f t="shared" si="8"/>
        <v>1.1826320672783597</v>
      </c>
      <c r="BB55" s="125">
        <f t="shared" si="9"/>
        <v>1.387112356323229</v>
      </c>
      <c r="BC55" s="14">
        <f t="shared" ref="BC55:BC60" si="18">BD55+BE55</f>
        <v>258988.27397260274</v>
      </c>
      <c r="BD55" s="14">
        <f t="shared" ref="BD55:BD61" si="19">$BD$4*BF55</f>
        <v>119190</v>
      </c>
      <c r="BE55" s="14">
        <f t="shared" ref="BE55:BE60" si="20">$BE$4*BF55</f>
        <v>139798.27397260274</v>
      </c>
      <c r="BF55" s="14">
        <v>29</v>
      </c>
      <c r="BH55" s="179">
        <f t="shared" si="13"/>
        <v>2.2904567691540974E-2</v>
      </c>
      <c r="BI55" s="179">
        <f t="shared" si="14"/>
        <v>1.5317175374538501E-2</v>
      </c>
      <c r="BJ55" s="259">
        <f t="shared" si="16"/>
        <v>0.96177825693392061</v>
      </c>
      <c r="BK55" s="14">
        <f t="shared" si="17"/>
        <v>270605.69621103787</v>
      </c>
      <c r="BL55" s="14"/>
      <c r="BM55" s="14"/>
    </row>
    <row r="56" spans="1:188" x14ac:dyDescent="0.2">
      <c r="A56" s="135">
        <f>A55+28</f>
        <v>40292</v>
      </c>
      <c r="B56" s="175">
        <f>[14]Calculation!$D$612</f>
        <v>237972.70500000002</v>
      </c>
      <c r="C56" s="130">
        <f>([14]Calculation!$H$612)/(1-D56%)</f>
        <v>3329.1855769230783</v>
      </c>
      <c r="D56" s="101">
        <v>16.8</v>
      </c>
      <c r="E56" s="101"/>
      <c r="F56" s="101"/>
      <c r="G56" s="165">
        <f>'[11]Plant Inputs'!$BD$618+'[11]Plant Inputs'!$BE$618-'[11]Plant Inputs'!$BD$565-'[11]Plant Inputs'!$BE$565</f>
        <v>1479</v>
      </c>
      <c r="H56" s="208"/>
      <c r="I56" s="205"/>
      <c r="J56" s="209"/>
      <c r="K56" s="209"/>
      <c r="L56" s="209"/>
      <c r="M56" s="130">
        <f>('[11]Plant Inputs'!$BF$618-'[11]Plant Inputs'!$BF$574)*27/18</f>
        <v>45030</v>
      </c>
      <c r="N56" s="145">
        <f>'[11]Plant Inputs'!$BG$618</f>
        <v>7790</v>
      </c>
      <c r="O56" s="154">
        <f>'[11]Plant Inputs'!$BJ$612-'[11]Plant Inputs'!$BJ$558</f>
        <v>3155</v>
      </c>
      <c r="P56" s="213">
        <f t="shared" si="0"/>
        <v>3838</v>
      </c>
      <c r="Q56" s="158">
        <v>2074</v>
      </c>
      <c r="R56" s="159">
        <v>1764</v>
      </c>
      <c r="S56" s="159"/>
      <c r="T56" s="159">
        <v>0</v>
      </c>
      <c r="U56" s="159"/>
      <c r="V56" s="148">
        <f>165834+5167</f>
        <v>171001</v>
      </c>
      <c r="W56" s="192"/>
      <c r="X56" s="192"/>
      <c r="Y56" s="192"/>
      <c r="Z56" s="192"/>
      <c r="AA56" s="192"/>
      <c r="AB56" s="192"/>
      <c r="AC56" s="193">
        <v>343</v>
      </c>
      <c r="AD56" s="188">
        <v>1179</v>
      </c>
      <c r="AE56" s="213">
        <f t="shared" si="1"/>
        <v>1522</v>
      </c>
      <c r="AF56" s="148">
        <f>62699+1960</f>
        <v>64659</v>
      </c>
      <c r="AG56" s="131"/>
      <c r="AH56" s="131"/>
      <c r="AI56" s="131"/>
      <c r="AJ56" s="132"/>
      <c r="AK56" s="233"/>
      <c r="AL56" s="224"/>
      <c r="AM56" s="132"/>
      <c r="AN56" s="132"/>
      <c r="AO56" s="131">
        <v>134341.0634023498</v>
      </c>
      <c r="AP56" s="125">
        <f t="shared" si="4"/>
        <v>0.56452299183786558</v>
      </c>
      <c r="AQ56" s="133">
        <v>1.67</v>
      </c>
      <c r="AR56" s="159">
        <f>'[16]APRIL 10'!$E$727</f>
        <v>38344</v>
      </c>
      <c r="AS56" s="159">
        <f>'[13]Apr 10'!$G$74</f>
        <v>9153</v>
      </c>
      <c r="AT56" s="220"/>
      <c r="AU56" s="130">
        <f t="shared" si="15"/>
        <v>45583.333333333336</v>
      </c>
      <c r="AV56" s="125">
        <f t="shared" si="3"/>
        <v>0.25069681835990393</v>
      </c>
      <c r="AW56" s="125">
        <f t="shared" si="2"/>
        <v>0.22817322684128835</v>
      </c>
      <c r="AX56" s="133">
        <f t="shared" ref="AX56:AX61" si="21">AV56-AW56</f>
        <v>2.2523591518615577E-2</v>
      </c>
      <c r="AY56" s="133">
        <f t="shared" si="6"/>
        <v>1.1258387978133417</v>
      </c>
      <c r="AZ56" s="133">
        <f t="shared" si="7"/>
        <v>0.79269621867915396</v>
      </c>
      <c r="BA56" s="133">
        <f t="shared" si="8"/>
        <v>0.72104841492155014</v>
      </c>
      <c r="BB56" s="125">
        <f t="shared" si="9"/>
        <v>0.84571963970730601</v>
      </c>
      <c r="BC56" s="131">
        <f t="shared" si="18"/>
        <v>267918.90410958906</v>
      </c>
      <c r="BD56" s="131">
        <f t="shared" si="19"/>
        <v>123300</v>
      </c>
      <c r="BE56" s="131">
        <f t="shared" si="20"/>
        <v>144618.90410958903</v>
      </c>
      <c r="BF56" s="131">
        <v>30</v>
      </c>
      <c r="BH56" s="179">
        <f t="shared" si="13"/>
        <v>5.9731162438470278E-2</v>
      </c>
      <c r="BI56" s="179">
        <f t="shared" si="14"/>
        <v>2.2321090496024234E-2</v>
      </c>
      <c r="BJ56" s="259">
        <f t="shared" si="16"/>
        <v>0.91794774706550541</v>
      </c>
      <c r="BK56" s="14">
        <f t="shared" si="17"/>
        <v>244652.0634023498</v>
      </c>
      <c r="BL56" s="14"/>
      <c r="BM56" s="14"/>
    </row>
    <row r="57" spans="1:188" s="14" customFormat="1" x14ac:dyDescent="0.2">
      <c r="A57" s="135">
        <f>A56+30</f>
        <v>40322</v>
      </c>
      <c r="B57" s="175">
        <f>[14]Calculation!$D$674</f>
        <v>255148.33199999991</v>
      </c>
      <c r="C57" s="130">
        <f>([14]Calculation!$H$674)/(1-D57%)</f>
        <v>3884.3036429433059</v>
      </c>
      <c r="D57" s="101">
        <v>17.100000000000001</v>
      </c>
      <c r="E57" s="101"/>
      <c r="F57" s="101"/>
      <c r="G57" s="165">
        <f>'[11]Plant Inputs'!$BD$680+'[11]Plant Inputs'!$BE$680-'[11]Plant Inputs'!$BD$619-'[11]Plant Inputs'!$BE$619</f>
        <v>2058</v>
      </c>
      <c r="H57" s="208"/>
      <c r="I57" s="209"/>
      <c r="J57" s="209"/>
      <c r="K57" s="209"/>
      <c r="L57" s="209"/>
      <c r="M57" s="130">
        <f>('[11]Plant Inputs'!BF680-'[11]Plant Inputs'!BF619)</f>
        <v>69412</v>
      </c>
      <c r="N57" s="147">
        <f>('[11]Plant Inputs'!BG680-'[11]Plant Inputs'!BG619)</f>
        <v>65497</v>
      </c>
      <c r="O57" s="154">
        <f>'[11]Plant Inputs'!$BJ$680-'[11]Plant Inputs'!$BJ$619</f>
        <v>3045</v>
      </c>
      <c r="P57" s="213">
        <f t="shared" si="0"/>
        <v>3136</v>
      </c>
      <c r="Q57" s="158">
        <v>1988</v>
      </c>
      <c r="R57" s="159">
        <v>1148</v>
      </c>
      <c r="S57" s="159"/>
      <c r="T57" s="159">
        <v>0</v>
      </c>
      <c r="U57" s="159"/>
      <c r="V57" s="148">
        <v>194705</v>
      </c>
      <c r="W57" s="188"/>
      <c r="X57" s="188"/>
      <c r="Y57" s="188"/>
      <c r="Z57" s="188"/>
      <c r="AA57" s="188"/>
      <c r="AB57" s="188"/>
      <c r="AC57" s="187">
        <v>371</v>
      </c>
      <c r="AD57" s="188">
        <v>1423</v>
      </c>
      <c r="AE57" s="213">
        <f t="shared" si="1"/>
        <v>1794</v>
      </c>
      <c r="AF57" s="148">
        <v>73225</v>
      </c>
      <c r="AJ57" s="167"/>
      <c r="AK57" s="233"/>
      <c r="AL57" s="225"/>
      <c r="AM57" s="131"/>
      <c r="AN57" s="131"/>
      <c r="AO57" s="131">
        <v>73511.824878290936</v>
      </c>
      <c r="AP57" s="125">
        <f t="shared" si="4"/>
        <v>0.28811407192852417</v>
      </c>
      <c r="AQ57" s="133">
        <v>1.65</v>
      </c>
      <c r="AR57" s="159">
        <v>39669</v>
      </c>
      <c r="AS57" s="159">
        <v>9655</v>
      </c>
      <c r="AT57" s="220"/>
      <c r="AU57" s="130">
        <f t="shared" si="15"/>
        <v>45583.333333333336</v>
      </c>
      <c r="AV57" s="125">
        <f t="shared" si="3"/>
        <v>0.55613532288347489</v>
      </c>
      <c r="AW57" s="125">
        <f t="shared" si="2"/>
        <v>0.53681322909843698</v>
      </c>
      <c r="AX57" s="133">
        <f t="shared" si="21"/>
        <v>1.9322093785037908E-2</v>
      </c>
      <c r="AY57" s="133">
        <f t="shared" si="6"/>
        <v>1.0850532789161067</v>
      </c>
      <c r="AZ57" s="133">
        <f t="shared" si="7"/>
        <v>0.8249273010269611</v>
      </c>
      <c r="BA57" s="133">
        <f t="shared" si="8"/>
        <v>0.65437456665211469</v>
      </c>
      <c r="BB57" s="125">
        <f t="shared" si="9"/>
        <v>0.76751770240402328</v>
      </c>
      <c r="BC57" s="131">
        <f t="shared" si="18"/>
        <v>276849.53424657532</v>
      </c>
      <c r="BD57" s="131">
        <f t="shared" si="19"/>
        <v>127410</v>
      </c>
      <c r="BE57" s="131">
        <f t="shared" si="20"/>
        <v>149439.53424657535</v>
      </c>
      <c r="BF57" s="14">
        <v>31</v>
      </c>
      <c r="BG57" s="167"/>
      <c r="BH57" s="179">
        <f t="shared" si="13"/>
        <v>2.257076992639483E-2</v>
      </c>
      <c r="BI57" s="179">
        <f t="shared" si="14"/>
        <v>1.0547850773484349E-2</v>
      </c>
      <c r="BJ57" s="259">
        <f t="shared" si="16"/>
        <v>0.96688137930012086</v>
      </c>
      <c r="BK57" s="14">
        <f t="shared" si="17"/>
        <v>267777.82487829094</v>
      </c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70"/>
    </row>
    <row r="58" spans="1:188" s="122" customFormat="1" x14ac:dyDescent="0.2">
      <c r="A58" s="137">
        <v>40339</v>
      </c>
      <c r="B58" s="176">
        <f>[18]Summary!$AU$33</f>
        <v>242814.77120000002</v>
      </c>
      <c r="C58" s="130">
        <f>[18]Summary!$AU$38/(1-D58/100)</f>
        <v>3640.3569170673077</v>
      </c>
      <c r="D58" s="101">
        <v>16.8</v>
      </c>
      <c r="E58" s="101"/>
      <c r="F58" s="101"/>
      <c r="G58" s="165">
        <v>1425</v>
      </c>
      <c r="H58" s="208"/>
      <c r="I58" s="209"/>
      <c r="J58" s="209"/>
      <c r="K58" s="209"/>
      <c r="L58" s="209"/>
      <c r="M58" s="130">
        <f>('[11]Plant Inputs'!BF740-'[11]Plant Inputs'!BF681)</f>
        <v>45648</v>
      </c>
      <c r="N58" s="147">
        <f>('[11]Plant Inputs'!BG732-'[11]Plant Inputs'!BG681)</f>
        <v>43087</v>
      </c>
      <c r="O58" s="154">
        <f>'[11]Plant Inputs'!$BJ$722-'[11]Plant Inputs'!$BJ$681</f>
        <v>1716</v>
      </c>
      <c r="P58" s="213">
        <f t="shared" si="0"/>
        <v>3049</v>
      </c>
      <c r="Q58" s="158">
        <v>1859</v>
      </c>
      <c r="R58" s="159">
        <v>1190</v>
      </c>
      <c r="S58" s="159"/>
      <c r="T58" s="159">
        <v>0</v>
      </c>
      <c r="U58" s="159"/>
      <c r="V58" s="148">
        <f>[17]Daily_OPS_Rep!$J$22</f>
        <v>173572.62</v>
      </c>
      <c r="W58" s="188"/>
      <c r="X58" s="188"/>
      <c r="Y58" s="188"/>
      <c r="Z58" s="188"/>
      <c r="AA58" s="188"/>
      <c r="AB58" s="188"/>
      <c r="AC58" s="187">
        <v>363</v>
      </c>
      <c r="AD58" s="188">
        <v>1344</v>
      </c>
      <c r="AE58" s="213">
        <f t="shared" si="1"/>
        <v>1707</v>
      </c>
      <c r="AF58" s="148">
        <f>[17]Daily_OPS_Rep!$J$23</f>
        <v>64635</v>
      </c>
      <c r="AJ58" s="168"/>
      <c r="AK58" s="233"/>
      <c r="AL58" s="226"/>
      <c r="AM58" s="217"/>
      <c r="AN58" s="217"/>
      <c r="AO58" s="131">
        <v>100853.13581086183</v>
      </c>
      <c r="AP58" s="125">
        <f t="shared" si="4"/>
        <v>0.41535008480926311</v>
      </c>
      <c r="AQ58" s="122">
        <v>1.67</v>
      </c>
      <c r="AR58" s="159">
        <f>'[16]June 10'!$E$727</f>
        <v>36507</v>
      </c>
      <c r="AS58" s="159">
        <f>'[13]Jun 10'!$G$74</f>
        <v>8429</v>
      </c>
      <c r="AT58" s="220"/>
      <c r="AU58" s="130">
        <f t="shared" si="15"/>
        <v>45583.333333333336</v>
      </c>
      <c r="AV58" s="125">
        <f t="shared" si="3"/>
        <v>0.39089878894484648</v>
      </c>
      <c r="AW58" s="125">
        <f t="shared" si="2"/>
        <v>0.3713118421685212</v>
      </c>
      <c r="AX58" s="133">
        <f t="shared" si="21"/>
        <v>1.9586946776325276E-2</v>
      </c>
      <c r="AY58" s="133">
        <f t="shared" si="6"/>
        <v>1.1033879973014964</v>
      </c>
      <c r="AZ58" s="133">
        <f t="shared" si="7"/>
        <v>0.78666192697778436</v>
      </c>
      <c r="BA58" s="133">
        <f t="shared" si="8"/>
        <v>0.71036549428129858</v>
      </c>
      <c r="BB58" s="125">
        <f t="shared" si="9"/>
        <v>0.83318961314053464</v>
      </c>
      <c r="BC58" s="131">
        <f t="shared" si="18"/>
        <v>267918.90410958906</v>
      </c>
      <c r="BD58" s="131">
        <f t="shared" si="19"/>
        <v>123300</v>
      </c>
      <c r="BE58" s="131">
        <f t="shared" si="20"/>
        <v>144618.90410958903</v>
      </c>
      <c r="BF58" s="14">
        <v>30</v>
      </c>
      <c r="BG58" s="168"/>
      <c r="BH58" s="179">
        <f t="shared" si="13"/>
        <v>1.9338479743055165E-2</v>
      </c>
      <c r="BI58" s="179">
        <f t="shared" si="14"/>
        <v>1.5146221896658591E-2</v>
      </c>
      <c r="BJ58" s="259">
        <f t="shared" si="16"/>
        <v>0.96551529836028627</v>
      </c>
      <c r="BK58" s="14">
        <f t="shared" si="17"/>
        <v>242421.13581086183</v>
      </c>
      <c r="BN58" s="173"/>
      <c r="BO58" s="173"/>
      <c r="BP58" s="173"/>
      <c r="BQ58" s="173"/>
      <c r="BR58" s="173"/>
      <c r="BS58" s="173"/>
      <c r="BT58" s="173"/>
      <c r="BU58" s="173"/>
      <c r="BV58" s="173"/>
      <c r="BW58" s="173"/>
      <c r="BX58" s="173"/>
      <c r="BY58" s="173"/>
      <c r="BZ58" s="173"/>
      <c r="CA58" s="173"/>
      <c r="CB58" s="173"/>
      <c r="CC58" s="173"/>
      <c r="CD58" s="173"/>
      <c r="CE58" s="173"/>
      <c r="CF58" s="173"/>
      <c r="CG58" s="173"/>
      <c r="CH58" s="173"/>
      <c r="CI58" s="173"/>
      <c r="CJ58" s="173"/>
      <c r="CK58" s="173"/>
      <c r="CL58" s="173"/>
      <c r="CM58" s="173"/>
      <c r="CN58" s="173"/>
      <c r="CO58" s="173"/>
      <c r="CP58" s="173"/>
      <c r="CQ58" s="171"/>
    </row>
    <row r="59" spans="1:188" s="122" customFormat="1" x14ac:dyDescent="0.2">
      <c r="A59" s="137">
        <v>40360</v>
      </c>
      <c r="B59" s="176">
        <f>[14]Calculation!$D$796</f>
        <v>249870.33525999999</v>
      </c>
      <c r="C59" s="130">
        <f>([14]Calculation!$H$790)/(1-D59/100)</f>
        <v>3630.657971014492</v>
      </c>
      <c r="D59" s="101">
        <v>17.2</v>
      </c>
      <c r="E59" s="101"/>
      <c r="F59" s="101"/>
      <c r="G59" s="165">
        <f>'[11]Plant Inputs'!$BD$796+'[11]Plant Inputs'!$BE$796-'[11]Plant Inputs'!$BD$740-'[11]Plant Inputs'!$BE$740</f>
        <v>1983</v>
      </c>
      <c r="H59" s="208"/>
      <c r="I59" s="198"/>
      <c r="J59" s="216"/>
      <c r="K59" s="216"/>
      <c r="L59" s="216"/>
      <c r="M59" s="130">
        <f>'[11]Plant Inputs'!$BF$796-'[11]Plant Inputs'!$BF$740</f>
        <v>58312</v>
      </c>
      <c r="N59" s="144">
        <f>'[11]Plant Inputs'!$BG$796-'[11]Plant Inputs'!$BG$737</f>
        <v>43794</v>
      </c>
      <c r="O59" s="155">
        <v>2767</v>
      </c>
      <c r="P59" s="213">
        <f t="shared" si="0"/>
        <v>7042</v>
      </c>
      <c r="Q59" s="158">
        <v>5523</v>
      </c>
      <c r="R59" s="159">
        <v>1519</v>
      </c>
      <c r="S59" s="159"/>
      <c r="T59" s="159">
        <v>0</v>
      </c>
      <c r="U59" s="159"/>
      <c r="V59" s="148">
        <f>[19]Daily_OPS_Rep!$J$22</f>
        <v>179965.74499999997</v>
      </c>
      <c r="W59" s="188"/>
      <c r="X59" s="188"/>
      <c r="Y59" s="188"/>
      <c r="Z59" s="188"/>
      <c r="AA59" s="188"/>
      <c r="AB59" s="188"/>
      <c r="AC59" s="187">
        <v>285</v>
      </c>
      <c r="AD59" s="188">
        <v>1483</v>
      </c>
      <c r="AE59" s="213">
        <f t="shared" si="1"/>
        <v>1768</v>
      </c>
      <c r="AF59" s="148">
        <f>[19]Daily_OPS_Rep!$J$23</f>
        <v>62846</v>
      </c>
      <c r="AJ59" s="168"/>
      <c r="AK59" s="233"/>
      <c r="AL59" s="171"/>
      <c r="AO59" s="138">
        <v>101797.8123676057</v>
      </c>
      <c r="AP59" s="125">
        <f t="shared" si="4"/>
        <v>0.40740255245458024</v>
      </c>
      <c r="AQ59" s="122">
        <v>1.65</v>
      </c>
      <c r="AR59" s="159">
        <v>35843</v>
      </c>
      <c r="AS59" s="159">
        <v>7042</v>
      </c>
      <c r="AT59" s="220"/>
      <c r="AU59" s="130">
        <f t="shared" si="15"/>
        <v>45583.333333333336</v>
      </c>
      <c r="AV59" s="125">
        <f t="shared" si="3"/>
        <v>0.45183034585727877</v>
      </c>
      <c r="AW59" s="125">
        <f t="shared" si="2"/>
        <v>0.41657205883079823</v>
      </c>
      <c r="AX59" s="133">
        <f t="shared" si="21"/>
        <v>3.5258287026480539E-2</v>
      </c>
      <c r="AY59" s="133">
        <f t="shared" si="6"/>
        <v>1.0364906810691039</v>
      </c>
      <c r="AZ59" s="133">
        <f t="shared" si="7"/>
        <v>0.82397461128537841</v>
      </c>
      <c r="BA59" s="133">
        <f t="shared" si="8"/>
        <v>0.66229270464776513</v>
      </c>
      <c r="BB59" s="125">
        <f t="shared" si="9"/>
        <v>0.77680490791513002</v>
      </c>
      <c r="BC59" s="131">
        <f t="shared" si="18"/>
        <v>258988.27397260274</v>
      </c>
      <c r="BD59" s="131">
        <f t="shared" si="19"/>
        <v>119190</v>
      </c>
      <c r="BE59" s="131">
        <f t="shared" si="20"/>
        <v>139798.27397260274</v>
      </c>
      <c r="BF59" s="14">
        <v>29</v>
      </c>
      <c r="BG59" s="168"/>
      <c r="BH59" s="179">
        <f t="shared" si="13"/>
        <v>2.709928897420328E-2</v>
      </c>
      <c r="BI59" s="179">
        <f t="shared" si="14"/>
        <v>1.4524121990872231E-2</v>
      </c>
      <c r="BJ59" s="259">
        <f t="shared" si="16"/>
        <v>0.9583765890349244</v>
      </c>
      <c r="BK59" s="14">
        <f t="shared" si="17"/>
        <v>260348.81236760569</v>
      </c>
      <c r="BN59" s="173"/>
      <c r="BO59" s="173"/>
      <c r="BP59" s="173"/>
      <c r="BQ59" s="173"/>
      <c r="BR59" s="173"/>
      <c r="BS59" s="173"/>
      <c r="BT59" s="173"/>
      <c r="BU59" s="173"/>
      <c r="BV59" s="173"/>
      <c r="BW59" s="173"/>
      <c r="BX59" s="173"/>
      <c r="BY59" s="173"/>
      <c r="BZ59" s="173"/>
      <c r="CA59" s="173"/>
      <c r="CB59" s="173"/>
      <c r="CC59" s="173"/>
      <c r="CD59" s="173"/>
      <c r="CE59" s="173"/>
      <c r="CF59" s="173"/>
      <c r="CG59" s="173"/>
      <c r="CH59" s="173"/>
      <c r="CI59" s="173"/>
      <c r="CJ59" s="173"/>
      <c r="CK59" s="173"/>
      <c r="CL59" s="173"/>
      <c r="CM59" s="173"/>
      <c r="CN59" s="173"/>
      <c r="CO59" s="173"/>
      <c r="CP59" s="173"/>
      <c r="CQ59" s="171"/>
    </row>
    <row r="60" spans="1:188" s="122" customFormat="1" x14ac:dyDescent="0.2">
      <c r="A60" s="137">
        <v>40400</v>
      </c>
      <c r="B60" s="177">
        <f>+'[14]Daily Report'!$H$25</f>
        <v>254681.91680000004</v>
      </c>
      <c r="C60" s="130">
        <v>4348</v>
      </c>
      <c r="D60" s="101">
        <v>17.5</v>
      </c>
      <c r="E60" s="101"/>
      <c r="F60" s="101"/>
      <c r="G60" s="165">
        <v>1975</v>
      </c>
      <c r="H60" s="208"/>
      <c r="I60" s="198"/>
      <c r="J60" s="216"/>
      <c r="K60" s="216"/>
      <c r="L60" s="216"/>
      <c r="M60" s="130">
        <v>63070</v>
      </c>
      <c r="N60" s="144">
        <v>42575</v>
      </c>
      <c r="O60" s="156">
        <v>0</v>
      </c>
      <c r="P60" s="213">
        <f t="shared" si="0"/>
        <v>6370</v>
      </c>
      <c r="Q60" s="158">
        <v>4728</v>
      </c>
      <c r="R60" s="159">
        <v>1642</v>
      </c>
      <c r="S60" s="159"/>
      <c r="T60" s="159">
        <v>0</v>
      </c>
      <c r="U60" s="159"/>
      <c r="V60" s="148">
        <v>192685.41</v>
      </c>
      <c r="W60" s="188"/>
      <c r="X60" s="188"/>
      <c r="Y60" s="188"/>
      <c r="Z60" s="188"/>
      <c r="AA60" s="188"/>
      <c r="AB60" s="188"/>
      <c r="AC60" s="187">
        <v>232</v>
      </c>
      <c r="AD60" s="188">
        <v>1598</v>
      </c>
      <c r="AE60" s="213">
        <f t="shared" si="1"/>
        <v>1830</v>
      </c>
      <c r="AF60" s="148">
        <v>70561</v>
      </c>
      <c r="AJ60" s="168"/>
      <c r="AK60" s="233"/>
      <c r="AL60" s="171"/>
      <c r="AO60" s="138">
        <v>95636.23919659121</v>
      </c>
      <c r="AP60" s="125">
        <f t="shared" si="4"/>
        <v>0.37551248395736592</v>
      </c>
      <c r="AQ60" s="122">
        <v>1.67</v>
      </c>
      <c r="AR60" s="159">
        <v>36648</v>
      </c>
      <c r="AS60" s="159">
        <v>9588</v>
      </c>
      <c r="AT60" s="220"/>
      <c r="AU60" s="130">
        <f t="shared" si="15"/>
        <v>45583.333333333336</v>
      </c>
      <c r="AV60" s="125">
        <f t="shared" si="3"/>
        <v>0.45476334344912539</v>
      </c>
      <c r="AW60" s="125">
        <f t="shared" si="2"/>
        <v>0.42256631861504818</v>
      </c>
      <c r="AX60" s="133">
        <f t="shared" si="21"/>
        <v>3.2197024834077215E-2</v>
      </c>
      <c r="AY60" s="133">
        <f t="shared" si="6"/>
        <v>1.0870404060292327</v>
      </c>
      <c r="AZ60" s="133">
        <f t="shared" si="7"/>
        <v>0.79807880257241404</v>
      </c>
      <c r="BA60" s="133">
        <f t="shared" si="8"/>
        <v>0.66123325061300697</v>
      </c>
      <c r="BB60" s="125">
        <f t="shared" si="9"/>
        <v>0.77556227140692879</v>
      </c>
      <c r="BC60" s="131">
        <f t="shared" si="18"/>
        <v>276849.53424657532</v>
      </c>
      <c r="BD60" s="131">
        <f t="shared" si="19"/>
        <v>127410</v>
      </c>
      <c r="BE60" s="131">
        <f t="shared" si="20"/>
        <v>149439.53424657535</v>
      </c>
      <c r="BF60" s="122">
        <v>31</v>
      </c>
      <c r="BG60" s="168"/>
      <c r="BH60" s="179">
        <f t="shared" si="13"/>
        <v>0</v>
      </c>
      <c r="BI60" s="179">
        <f t="shared" si="14"/>
        <v>1.5126129963557196E-2</v>
      </c>
      <c r="BJ60" s="259">
        <f t="shared" si="16"/>
        <v>0.98487387003644278</v>
      </c>
      <c r="BK60" s="14">
        <f t="shared" si="17"/>
        <v>257692.2391965912</v>
      </c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173"/>
      <c r="CC60" s="173"/>
      <c r="CD60" s="173"/>
      <c r="CE60" s="173"/>
      <c r="CF60" s="173"/>
      <c r="CG60" s="173"/>
      <c r="CH60" s="173"/>
      <c r="CI60" s="173"/>
      <c r="CJ60" s="173"/>
      <c r="CK60" s="173"/>
      <c r="CL60" s="173"/>
      <c r="CM60" s="173"/>
      <c r="CN60" s="173"/>
      <c r="CO60" s="173"/>
      <c r="CP60" s="173"/>
      <c r="CQ60" s="171"/>
    </row>
    <row r="61" spans="1:188" s="136" customFormat="1" x14ac:dyDescent="0.2">
      <c r="A61" s="139">
        <v>40422</v>
      </c>
      <c r="B61" s="178">
        <v>206128</v>
      </c>
      <c r="C61" s="130">
        <v>3182</v>
      </c>
      <c r="D61" s="101">
        <v>16.5</v>
      </c>
      <c r="E61" s="101"/>
      <c r="F61" s="101"/>
      <c r="G61" s="165">
        <f>1691+333</f>
        <v>2024</v>
      </c>
      <c r="H61" s="208"/>
      <c r="I61" s="198"/>
      <c r="J61" s="216"/>
      <c r="K61" s="216"/>
      <c r="L61" s="216"/>
      <c r="M61" s="130">
        <v>58474</v>
      </c>
      <c r="N61" s="144">
        <v>42981</v>
      </c>
      <c r="O61" s="157">
        <v>0</v>
      </c>
      <c r="P61" s="213">
        <f t="shared" si="0"/>
        <v>5491</v>
      </c>
      <c r="Q61" s="158">
        <v>4270</v>
      </c>
      <c r="R61" s="159">
        <v>1221</v>
      </c>
      <c r="S61" s="159"/>
      <c r="T61" s="159">
        <v>0</v>
      </c>
      <c r="U61" s="159"/>
      <c r="V61" s="148">
        <v>181737</v>
      </c>
      <c r="W61" s="190"/>
      <c r="X61" s="190"/>
      <c r="Y61" s="190"/>
      <c r="Z61" s="190"/>
      <c r="AA61" s="190"/>
      <c r="AB61" s="190"/>
      <c r="AC61" s="191">
        <v>351</v>
      </c>
      <c r="AD61" s="188">
        <v>1643</v>
      </c>
      <c r="AE61" s="213">
        <f t="shared" si="1"/>
        <v>1994</v>
      </c>
      <c r="AF61" s="148">
        <v>68082</v>
      </c>
      <c r="AG61" s="140"/>
      <c r="AH61" s="140"/>
      <c r="AI61" s="140"/>
      <c r="AJ61" s="169"/>
      <c r="AK61" s="233"/>
      <c r="AL61" s="172"/>
      <c r="AM61" s="140"/>
      <c r="AN61" s="140"/>
      <c r="AO61" s="141">
        <v>57244.829142895745</v>
      </c>
      <c r="AP61" s="129">
        <f t="shared" si="4"/>
        <v>0.27771495935969759</v>
      </c>
      <c r="AQ61" s="140">
        <v>1.68</v>
      </c>
      <c r="AR61" s="159">
        <v>38667</v>
      </c>
      <c r="AS61" s="159">
        <v>10168</v>
      </c>
      <c r="AT61" s="220"/>
      <c r="AU61" s="130">
        <f t="shared" si="15"/>
        <v>45583.333333333336</v>
      </c>
      <c r="AV61" s="125">
        <f t="shared" si="3"/>
        <v>0.53832570053558959</v>
      </c>
      <c r="AW61" s="125">
        <f t="shared" si="2"/>
        <v>0.50201331211674305</v>
      </c>
      <c r="AX61" s="133">
        <f t="shared" si="21"/>
        <v>3.6312388418846542E-2</v>
      </c>
      <c r="AY61" s="133">
        <f t="shared" si="6"/>
        <v>1.29976958059841</v>
      </c>
      <c r="AZ61" s="133">
        <f t="shared" si="7"/>
        <v>0.77972827147644064</v>
      </c>
      <c r="BA61" s="133">
        <f t="shared" si="8"/>
        <v>0.67845292923290246</v>
      </c>
      <c r="BB61" s="125">
        <f t="shared" si="9"/>
        <v>0.79575927912086708</v>
      </c>
      <c r="BC61" s="131">
        <f t="shared" ref="BC61:BC68" si="22">BD61+BE61</f>
        <v>267918.90410958906</v>
      </c>
      <c r="BD61" s="131">
        <f t="shared" si="19"/>
        <v>123300</v>
      </c>
      <c r="BE61" s="131">
        <f t="shared" ref="BE61:BE68" si="23">$BE$4*BF61</f>
        <v>144618.90410958903</v>
      </c>
      <c r="BF61" s="140">
        <v>30</v>
      </c>
      <c r="BG61" s="169"/>
      <c r="BH61" s="179">
        <f t="shared" si="13"/>
        <v>0</v>
      </c>
      <c r="BI61" s="179">
        <f t="shared" si="14"/>
        <v>1.6194371889014833E-2</v>
      </c>
      <c r="BJ61" s="259">
        <f t="shared" si="16"/>
        <v>0.98380562811098515</v>
      </c>
      <c r="BK61" s="14">
        <f t="shared" si="17"/>
        <v>217043.82914289576</v>
      </c>
      <c r="BL61" s="122"/>
      <c r="BM61" s="122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B61" s="173"/>
      <c r="CC61" s="173"/>
      <c r="CD61" s="173"/>
      <c r="CE61" s="173"/>
      <c r="CF61" s="173"/>
      <c r="CG61" s="173"/>
      <c r="CH61" s="173"/>
      <c r="CI61" s="173"/>
      <c r="CJ61" s="173"/>
      <c r="CK61" s="173"/>
      <c r="CL61" s="173"/>
      <c r="CM61" s="173"/>
      <c r="CN61" s="173"/>
      <c r="CO61" s="173"/>
      <c r="CP61" s="173"/>
      <c r="CQ61" s="172"/>
      <c r="CR61" s="140"/>
      <c r="CS61" s="140"/>
      <c r="CT61" s="140"/>
      <c r="CU61" s="140"/>
      <c r="CV61" s="140"/>
      <c r="CW61" s="140"/>
      <c r="CX61" s="140"/>
      <c r="CY61" s="140"/>
      <c r="CZ61" s="140"/>
      <c r="DA61" s="140"/>
      <c r="DB61" s="140"/>
      <c r="DC61" s="140"/>
      <c r="DD61" s="140"/>
      <c r="DE61" s="140"/>
      <c r="DF61" s="140"/>
      <c r="DG61" s="140"/>
      <c r="DH61" s="140"/>
      <c r="DI61" s="140"/>
      <c r="DJ61" s="140"/>
      <c r="DK61" s="140"/>
      <c r="DL61" s="140"/>
      <c r="DM61" s="140"/>
      <c r="DN61" s="140"/>
      <c r="DO61" s="140"/>
      <c r="DP61" s="140"/>
      <c r="DQ61" s="140"/>
      <c r="DR61" s="140"/>
      <c r="DS61" s="140"/>
      <c r="DT61" s="140"/>
      <c r="DU61" s="140"/>
      <c r="DV61" s="140"/>
      <c r="DW61" s="140"/>
      <c r="DX61" s="140"/>
      <c r="DY61" s="140"/>
      <c r="DZ61" s="140"/>
      <c r="EA61" s="140"/>
      <c r="EB61" s="140"/>
      <c r="EC61" s="140"/>
      <c r="ED61" s="140"/>
      <c r="EE61" s="140"/>
      <c r="EF61" s="140"/>
      <c r="EG61" s="140"/>
      <c r="EH61" s="140"/>
      <c r="EI61" s="140"/>
      <c r="EJ61" s="140"/>
      <c r="EK61" s="140"/>
      <c r="EL61" s="140"/>
      <c r="EM61" s="140"/>
      <c r="EN61" s="140"/>
      <c r="EO61" s="140"/>
      <c r="EP61" s="140"/>
      <c r="EQ61" s="140"/>
      <c r="ER61" s="140"/>
      <c r="ES61" s="140"/>
      <c r="ET61" s="140"/>
      <c r="EU61" s="140"/>
      <c r="EV61" s="140"/>
      <c r="EW61" s="140"/>
      <c r="EX61" s="140"/>
      <c r="EY61" s="140"/>
      <c r="EZ61" s="140"/>
      <c r="FA61" s="140"/>
      <c r="FB61" s="140"/>
      <c r="FC61" s="140"/>
      <c r="FD61" s="140"/>
      <c r="FE61" s="140"/>
      <c r="FF61" s="140"/>
      <c r="FG61" s="140"/>
      <c r="FH61" s="140"/>
      <c r="FI61" s="140"/>
      <c r="FJ61" s="140"/>
      <c r="FK61" s="140"/>
      <c r="FL61" s="140"/>
      <c r="FM61" s="140"/>
      <c r="FN61" s="140"/>
      <c r="FO61" s="140"/>
      <c r="FP61" s="140"/>
      <c r="FQ61" s="140"/>
      <c r="FR61" s="140"/>
      <c r="FS61" s="140"/>
      <c r="FT61" s="140"/>
      <c r="FU61" s="140"/>
      <c r="FV61" s="140"/>
      <c r="FW61" s="140"/>
      <c r="FX61" s="140"/>
      <c r="FY61" s="140"/>
      <c r="FZ61" s="140"/>
      <c r="GA61" s="140"/>
      <c r="GB61" s="140"/>
      <c r="GC61" s="140"/>
      <c r="GD61" s="140"/>
      <c r="GE61" s="140"/>
      <c r="GF61" s="140"/>
    </row>
    <row r="62" spans="1:188" s="122" customFormat="1" x14ac:dyDescent="0.2">
      <c r="A62" s="137">
        <v>40461</v>
      </c>
      <c r="B62" s="177">
        <v>266292.47311999998</v>
      </c>
      <c r="C62" s="130">
        <v>4375</v>
      </c>
      <c r="D62" s="101">
        <v>17</v>
      </c>
      <c r="E62" s="101"/>
      <c r="F62" s="101"/>
      <c r="G62" s="165">
        <v>1240</v>
      </c>
      <c r="H62" s="208"/>
      <c r="I62" s="198"/>
      <c r="J62" s="216"/>
      <c r="K62" s="216"/>
      <c r="L62" s="216"/>
      <c r="M62" s="130">
        <v>73160</v>
      </c>
      <c r="N62" s="144">
        <v>82711</v>
      </c>
      <c r="O62" s="156">
        <v>0</v>
      </c>
      <c r="P62" s="213">
        <f t="shared" si="0"/>
        <v>4613</v>
      </c>
      <c r="Q62" s="158">
        <v>3304</v>
      </c>
      <c r="R62" s="159">
        <v>1309</v>
      </c>
      <c r="S62" s="159"/>
      <c r="T62" s="159">
        <v>0</v>
      </c>
      <c r="U62" s="159"/>
      <c r="V62" s="148">
        <v>183653.01</v>
      </c>
      <c r="W62" s="188"/>
      <c r="X62" s="188"/>
      <c r="Y62" s="188"/>
      <c r="Z62" s="188"/>
      <c r="AA62" s="188"/>
      <c r="AB62" s="188"/>
      <c r="AC62" s="187">
        <v>338</v>
      </c>
      <c r="AD62" s="188">
        <v>1729</v>
      </c>
      <c r="AE62" s="213">
        <f t="shared" si="1"/>
        <v>2067</v>
      </c>
      <c r="AF62" s="148">
        <v>77291</v>
      </c>
      <c r="AJ62" s="168"/>
      <c r="AK62" s="233"/>
      <c r="AL62" s="171"/>
      <c r="AO62" s="138">
        <v>119574.70979189529</v>
      </c>
      <c r="AP62" s="125">
        <f t="shared" si="4"/>
        <v>0.44903525958096108</v>
      </c>
      <c r="AQ62" s="122">
        <v>1.67</v>
      </c>
      <c r="AR62" s="159">
        <v>43103</v>
      </c>
      <c r="AS62" s="159">
        <v>8446</v>
      </c>
      <c r="AT62" s="220"/>
      <c r="AU62" s="130">
        <f t="shared" si="15"/>
        <v>45583.333333333336</v>
      </c>
      <c r="AV62" s="125">
        <f t="shared" si="3"/>
        <v>0.61507934520624052</v>
      </c>
      <c r="AW62" s="125">
        <f t="shared" si="2"/>
        <v>0.58999414500612157</v>
      </c>
      <c r="AX62" s="133">
        <f t="shared" ref="AX62:AX68" si="24">AV62-AW62</f>
        <v>2.5085200200118951E-2</v>
      </c>
      <c r="AY62" s="133">
        <f t="shared" si="6"/>
        <v>1.039644609563628</v>
      </c>
      <c r="AZ62" s="133">
        <f t="shared" si="7"/>
        <v>1.0390294045870827</v>
      </c>
      <c r="BA62" s="133">
        <f t="shared" si="8"/>
        <v>0.69375394391847967</v>
      </c>
      <c r="BB62" s="125">
        <f t="shared" si="9"/>
        <v>0.81370588070718441</v>
      </c>
      <c r="BC62" s="131">
        <f t="shared" si="22"/>
        <v>276849.53424657532</v>
      </c>
      <c r="BD62" s="131">
        <f t="shared" ref="BD62:BD68" si="25">$BD$4*BF62</f>
        <v>127410</v>
      </c>
      <c r="BE62" s="131">
        <f t="shared" si="23"/>
        <v>149439.53424657535</v>
      </c>
      <c r="BF62" s="122">
        <v>31</v>
      </c>
      <c r="BG62" s="168"/>
      <c r="BH62" s="179">
        <f t="shared" si="13"/>
        <v>0</v>
      </c>
      <c r="BI62" s="179">
        <f t="shared" si="14"/>
        <v>1.1092505982511179E-2</v>
      </c>
      <c r="BJ62" s="259">
        <f t="shared" si="16"/>
        <v>0.98890749401748879</v>
      </c>
      <c r="BK62" s="14">
        <f t="shared" si="17"/>
        <v>334914.70979189529</v>
      </c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34"/>
      <c r="CA62" s="134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1"/>
    </row>
    <row r="63" spans="1:188" s="14" customFormat="1" x14ac:dyDescent="0.2">
      <c r="A63" s="135">
        <v>40492</v>
      </c>
      <c r="B63" s="5">
        <v>246387</v>
      </c>
      <c r="C63" s="130">
        <v>3117</v>
      </c>
      <c r="D63" s="101">
        <v>16</v>
      </c>
      <c r="E63" s="101"/>
      <c r="F63" s="101"/>
      <c r="G63" s="165">
        <v>1615</v>
      </c>
      <c r="H63" s="208"/>
      <c r="I63" s="198"/>
      <c r="J63" s="216"/>
      <c r="K63" s="216"/>
      <c r="L63" s="216"/>
      <c r="M63" s="130">
        <v>56258</v>
      </c>
      <c r="N63" s="144">
        <v>38327</v>
      </c>
      <c r="O63" s="151">
        <v>0</v>
      </c>
      <c r="P63" s="213">
        <f t="shared" si="0"/>
        <v>6823</v>
      </c>
      <c r="Q63" s="158">
        <v>5123</v>
      </c>
      <c r="R63" s="159">
        <v>1700</v>
      </c>
      <c r="S63" s="159"/>
      <c r="T63" s="159">
        <v>0</v>
      </c>
      <c r="U63" s="159"/>
      <c r="V63" s="148">
        <v>185659</v>
      </c>
      <c r="W63" s="188"/>
      <c r="X63" s="188"/>
      <c r="Y63" s="188"/>
      <c r="Z63" s="188"/>
      <c r="AA63" s="188"/>
      <c r="AB63" s="188"/>
      <c r="AC63" s="187">
        <v>259</v>
      </c>
      <c r="AD63" s="188">
        <v>1679</v>
      </c>
      <c r="AE63" s="213">
        <f t="shared" si="1"/>
        <v>1938</v>
      </c>
      <c r="AF63" s="148">
        <v>80571</v>
      </c>
      <c r="AJ63" s="167"/>
      <c r="AK63" s="233"/>
      <c r="AL63" s="170"/>
      <c r="AO63" s="138">
        <v>173745.92813839082</v>
      </c>
      <c r="AP63" s="125">
        <f t="shared" si="4"/>
        <v>0.70517490021141871</v>
      </c>
      <c r="AQ63" s="14">
        <v>1.67</v>
      </c>
      <c r="AR63" s="159">
        <v>42919</v>
      </c>
      <c r="AS63" s="159">
        <v>0</v>
      </c>
      <c r="AT63" s="220"/>
      <c r="AU63" s="130">
        <f t="shared" si="15"/>
        <v>45583.333333333336</v>
      </c>
      <c r="AV63" s="125">
        <f t="shared" si="3"/>
        <v>0.4260005600944855</v>
      </c>
      <c r="AW63" s="125">
        <f t="shared" si="2"/>
        <v>0.39044267757633316</v>
      </c>
      <c r="AX63" s="133">
        <f t="shared" si="24"/>
        <v>3.5557882518152339E-2</v>
      </c>
      <c r="AY63" s="133">
        <f t="shared" si="6"/>
        <v>1.0873905851753098</v>
      </c>
      <c r="AZ63" s="133">
        <f t="shared" si="7"/>
        <v>1.0956175777877519</v>
      </c>
      <c r="BA63" s="133">
        <f t="shared" si="8"/>
        <v>0.66412078057083146</v>
      </c>
      <c r="BB63" s="125">
        <f t="shared" si="9"/>
        <v>0.77894906311888479</v>
      </c>
      <c r="BC63" s="131">
        <f t="shared" si="22"/>
        <v>267918.90410958906</v>
      </c>
      <c r="BD63" s="131">
        <f t="shared" si="25"/>
        <v>123300</v>
      </c>
      <c r="BE63" s="131">
        <f t="shared" si="23"/>
        <v>144618.90410958903</v>
      </c>
      <c r="BF63" s="122">
        <v>30</v>
      </c>
      <c r="BG63" s="167"/>
      <c r="BH63" s="179">
        <f t="shared" si="13"/>
        <v>0</v>
      </c>
      <c r="BI63" s="179">
        <f t="shared" si="14"/>
        <v>1.7751229053232544E-2</v>
      </c>
      <c r="BJ63" s="259">
        <f t="shared" si="16"/>
        <v>0.98224877094676744</v>
      </c>
      <c r="BK63" s="14">
        <f t="shared" si="17"/>
        <v>321625.92813839082</v>
      </c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73"/>
      <c r="CA63" s="173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70"/>
    </row>
    <row r="64" spans="1:188" s="14" customFormat="1" x14ac:dyDescent="0.2">
      <c r="A64" s="135">
        <v>40522</v>
      </c>
      <c r="B64" s="5">
        <v>254681.91680000004</v>
      </c>
      <c r="C64" s="130">
        <v>3762.85</v>
      </c>
      <c r="D64" s="101">
        <v>15.68</v>
      </c>
      <c r="E64" s="101"/>
      <c r="F64" s="101"/>
      <c r="G64" s="165">
        <v>1948</v>
      </c>
      <c r="H64" s="208"/>
      <c r="I64" s="198"/>
      <c r="J64" s="216"/>
      <c r="K64" s="216"/>
      <c r="L64" s="216"/>
      <c r="M64" s="130">
        <v>64477</v>
      </c>
      <c r="N64" s="144">
        <v>27941</v>
      </c>
      <c r="O64" s="151">
        <v>0</v>
      </c>
      <c r="P64" s="213">
        <f t="shared" si="0"/>
        <v>5786</v>
      </c>
      <c r="Q64" s="158">
        <v>4299</v>
      </c>
      <c r="R64" s="159">
        <v>1487</v>
      </c>
      <c r="S64" s="159"/>
      <c r="T64" s="159">
        <v>0</v>
      </c>
      <c r="U64" s="159"/>
      <c r="V64" s="148">
        <v>152529</v>
      </c>
      <c r="W64" s="188"/>
      <c r="X64" s="188"/>
      <c r="Y64" s="188"/>
      <c r="Z64" s="188"/>
      <c r="AA64" s="188"/>
      <c r="AB64" s="188"/>
      <c r="AC64" s="187">
        <v>294</v>
      </c>
      <c r="AD64" s="188">
        <v>1490</v>
      </c>
      <c r="AE64" s="213">
        <f t="shared" si="1"/>
        <v>1784</v>
      </c>
      <c r="AF64" s="148">
        <v>60386</v>
      </c>
      <c r="AJ64" s="167"/>
      <c r="AK64" s="233"/>
      <c r="AL64" s="170"/>
      <c r="AO64" s="15">
        <v>100065.72339405467</v>
      </c>
      <c r="AP64" s="125">
        <f t="shared" si="4"/>
        <v>0.39290470501930297</v>
      </c>
      <c r="AQ64" s="14">
        <v>1.68</v>
      </c>
      <c r="AR64" s="159">
        <v>34274</v>
      </c>
      <c r="AS64" s="159">
        <v>6763</v>
      </c>
      <c r="AT64" s="220"/>
      <c r="AU64" s="130">
        <f t="shared" si="15"/>
        <v>45583.333333333336</v>
      </c>
      <c r="AV64" s="125">
        <f t="shared" si="3"/>
        <v>0.40024828335201218</v>
      </c>
      <c r="AW64" s="125">
        <f t="shared" si="2"/>
        <v>0.37052493237713841</v>
      </c>
      <c r="AX64" s="133">
        <f t="shared" si="24"/>
        <v>2.9723350974873775E-2</v>
      </c>
      <c r="AY64" s="133">
        <f t="shared" si="6"/>
        <v>1.0870404060292327</v>
      </c>
      <c r="AZ64" s="133">
        <f t="shared" si="7"/>
        <v>0.76342963739644143</v>
      </c>
      <c r="BA64" s="133">
        <f t="shared" si="8"/>
        <v>0.83531656275200128</v>
      </c>
      <c r="BB64" s="125">
        <f t="shared" si="9"/>
        <v>0.97974505993335925</v>
      </c>
      <c r="BC64" s="131">
        <f t="shared" si="22"/>
        <v>276849.53424657532</v>
      </c>
      <c r="BD64" s="131">
        <f t="shared" si="25"/>
        <v>127410</v>
      </c>
      <c r="BE64" s="131">
        <f t="shared" si="23"/>
        <v>149439.53424657535</v>
      </c>
      <c r="BF64" s="122">
        <v>31</v>
      </c>
      <c r="BG64" s="167"/>
      <c r="BH64" s="179">
        <f t="shared" si="13"/>
        <v>0</v>
      </c>
      <c r="BI64" s="179">
        <f t="shared" si="14"/>
        <v>1.612240039819083E-2</v>
      </c>
      <c r="BJ64" s="259">
        <f t="shared" si="16"/>
        <v>0.98387759960180921</v>
      </c>
      <c r="BK64" s="14">
        <f t="shared" si="17"/>
        <v>243038.72339405469</v>
      </c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70"/>
    </row>
    <row r="65" spans="1:94" x14ac:dyDescent="0.2">
      <c r="A65" s="135">
        <v>40574</v>
      </c>
      <c r="B65" s="5">
        <v>246231</v>
      </c>
      <c r="C65" s="130">
        <v>4235.08</v>
      </c>
      <c r="D65" s="101">
        <v>15.7</v>
      </c>
      <c r="E65" s="101"/>
      <c r="F65" s="101"/>
      <c r="G65" s="165">
        <v>1948</v>
      </c>
      <c r="H65" s="208"/>
      <c r="I65" s="198"/>
      <c r="J65" s="216"/>
      <c r="K65" s="216"/>
      <c r="L65" s="216"/>
      <c r="M65" s="130">
        <v>59881</v>
      </c>
      <c r="N65" s="144">
        <v>12871</v>
      </c>
      <c r="O65" s="14">
        <v>0</v>
      </c>
      <c r="P65" s="213">
        <f t="shared" si="0"/>
        <v>4991</v>
      </c>
      <c r="Q65" s="158">
        <v>3442</v>
      </c>
      <c r="R65" s="159">
        <v>1549</v>
      </c>
      <c r="S65" s="159"/>
      <c r="T65" s="159">
        <v>0</v>
      </c>
      <c r="U65" s="159"/>
      <c r="V65" s="148">
        <v>178156</v>
      </c>
      <c r="W65" s="188"/>
      <c r="X65" s="188"/>
      <c r="Y65" s="188"/>
      <c r="Z65" s="188"/>
      <c r="AA65" s="188"/>
      <c r="AB65" s="188"/>
      <c r="AC65" s="187">
        <v>468</v>
      </c>
      <c r="AD65" s="188">
        <v>1959</v>
      </c>
      <c r="AE65" s="213">
        <f t="shared" si="1"/>
        <v>2427</v>
      </c>
      <c r="AF65" s="148">
        <v>74530</v>
      </c>
      <c r="AG65" s="14"/>
      <c r="AH65" s="14"/>
      <c r="AI65" s="14"/>
      <c r="AJ65" s="167"/>
      <c r="AK65" s="233"/>
      <c r="AL65" s="170"/>
      <c r="AM65" s="14"/>
      <c r="AN65" s="14"/>
      <c r="AO65" s="15">
        <v>117303.11654490055</v>
      </c>
      <c r="AP65" s="125">
        <f t="shared" si="4"/>
        <v>0.47639459103403126</v>
      </c>
      <c r="AQ65" s="14">
        <v>1.67</v>
      </c>
      <c r="AR65" s="159">
        <v>44975</v>
      </c>
      <c r="AS65" s="159">
        <v>13739</v>
      </c>
      <c r="AT65" s="220"/>
      <c r="AU65" s="130">
        <f>AU64</f>
        <v>45583.333333333336</v>
      </c>
      <c r="AV65" s="125">
        <f t="shared" si="3"/>
        <v>0.3334998436427582</v>
      </c>
      <c r="AW65" s="125">
        <f t="shared" si="2"/>
        <v>0.30337366131803062</v>
      </c>
      <c r="AX65" s="133">
        <f t="shared" si="24"/>
        <v>3.012618232472758E-2</v>
      </c>
      <c r="AY65" s="133">
        <f t="shared" si="6"/>
        <v>1.1243488197935083</v>
      </c>
      <c r="AZ65" s="133">
        <f t="shared" si="7"/>
        <v>0.77976825235206193</v>
      </c>
      <c r="BA65" s="133">
        <f t="shared" si="8"/>
        <v>0.71515974763690249</v>
      </c>
      <c r="BB65" s="125">
        <f t="shared" si="9"/>
        <v>0.83881280589245011</v>
      </c>
      <c r="BC65" s="131">
        <f t="shared" si="22"/>
        <v>276849.53424657532</v>
      </c>
      <c r="BD65" s="131">
        <f t="shared" si="25"/>
        <v>127410</v>
      </c>
      <c r="BE65" s="131">
        <f t="shared" si="23"/>
        <v>149439.53424657535</v>
      </c>
      <c r="BF65" s="14">
        <v>31</v>
      </c>
      <c r="BG65" s="167"/>
      <c r="BH65" s="179">
        <f t="shared" si="13"/>
        <v>0</v>
      </c>
      <c r="BI65" s="179">
        <f t="shared" si="14"/>
        <v>2.6927094787772159E-2</v>
      </c>
      <c r="BJ65" s="259">
        <f t="shared" si="16"/>
        <v>0.97307290521222789</v>
      </c>
      <c r="BK65" s="14">
        <f t="shared" si="17"/>
        <v>258135.11654490055</v>
      </c>
      <c r="BL65" s="14"/>
      <c r="BM65" s="1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</row>
    <row r="66" spans="1:94" x14ac:dyDescent="0.2">
      <c r="A66" s="135">
        <v>40585</v>
      </c>
      <c r="B66" s="5">
        <v>232822</v>
      </c>
      <c r="C66" s="130">
        <v>3531.5</v>
      </c>
      <c r="D66" s="101">
        <v>15.089</v>
      </c>
      <c r="E66" s="101"/>
      <c r="F66" s="101"/>
      <c r="G66" s="165">
        <v>1241</v>
      </c>
      <c r="H66" s="208"/>
      <c r="I66" s="198"/>
      <c r="J66" s="216"/>
      <c r="K66" s="216"/>
      <c r="L66" s="216"/>
      <c r="M66" s="130">
        <v>59881</v>
      </c>
      <c r="N66" s="144">
        <v>12871</v>
      </c>
      <c r="O66" s="14">
        <v>0</v>
      </c>
      <c r="P66" s="213">
        <f t="shared" si="0"/>
        <v>2694</v>
      </c>
      <c r="Q66" s="180">
        <v>1284</v>
      </c>
      <c r="R66" s="180">
        <v>1410</v>
      </c>
      <c r="S66" s="180"/>
      <c r="T66" s="159">
        <v>0</v>
      </c>
      <c r="U66" s="159"/>
      <c r="V66" s="148">
        <v>173640</v>
      </c>
      <c r="W66" s="188"/>
      <c r="X66" s="188"/>
      <c r="Y66" s="188"/>
      <c r="Z66" s="188"/>
      <c r="AA66" s="188"/>
      <c r="AB66" s="188"/>
      <c r="AC66" s="187">
        <v>723</v>
      </c>
      <c r="AD66" s="188">
        <v>1898</v>
      </c>
      <c r="AE66" s="213">
        <f>SUM(AC66:AD66)</f>
        <v>2621</v>
      </c>
      <c r="AF66" s="148">
        <v>74773</v>
      </c>
      <c r="AG66" s="14"/>
      <c r="AH66" s="14"/>
      <c r="AI66" s="14"/>
      <c r="AJ66" s="167"/>
      <c r="AK66" s="233"/>
      <c r="AL66" s="170"/>
      <c r="AM66" s="14"/>
      <c r="AN66" s="14"/>
      <c r="AO66" s="15">
        <v>77202</v>
      </c>
      <c r="AP66" s="125">
        <f t="shared" si="4"/>
        <v>0.33159237529099483</v>
      </c>
      <c r="AQ66" s="125">
        <v>1.665</v>
      </c>
      <c r="AR66" s="159">
        <v>46769</v>
      </c>
      <c r="AS66" s="159">
        <v>16503</v>
      </c>
      <c r="AT66" s="220"/>
      <c r="AU66" s="130">
        <f t="shared" ref="AU66:AU87" si="26">AU64</f>
        <v>45583.333333333336</v>
      </c>
      <c r="AV66" s="125">
        <f t="shared" si="3"/>
        <v>0.34063791222478973</v>
      </c>
      <c r="AW66" s="125">
        <f t="shared" si="2"/>
        <v>0.31780931355284292</v>
      </c>
      <c r="AX66" s="133">
        <f t="shared" si="24"/>
        <v>2.2828598671946809E-2</v>
      </c>
      <c r="AY66" s="133">
        <f t="shared" si="6"/>
        <v>1.0740292748778744</v>
      </c>
      <c r="AZ66" s="133">
        <f t="shared" si="7"/>
        <v>0.64940168884383775</v>
      </c>
      <c r="BA66" s="133">
        <f t="shared" si="8"/>
        <v>0.66275051831375265</v>
      </c>
      <c r="BB66" s="125">
        <f t="shared" si="9"/>
        <v>0.77734187880451766</v>
      </c>
      <c r="BC66" s="131">
        <f>BD66+BE66</f>
        <v>250057.64383561644</v>
      </c>
      <c r="BD66" s="131">
        <f t="shared" si="25"/>
        <v>115080</v>
      </c>
      <c r="BE66" s="131">
        <f>$BE$4*BF66</f>
        <v>134977.64383561644</v>
      </c>
      <c r="BF66" s="14">
        <v>28</v>
      </c>
      <c r="BG66" s="167"/>
      <c r="BH66" s="179">
        <f t="shared" si="13"/>
        <v>0</v>
      </c>
      <c r="BI66" s="179">
        <f t="shared" si="14"/>
        <v>2.6088629865845613E-2</v>
      </c>
      <c r="BJ66" s="259">
        <f>1-BI66-BH66</f>
        <v>0.97391137013415441</v>
      </c>
      <c r="BK66" s="14">
        <f t="shared" si="17"/>
        <v>219782</v>
      </c>
      <c r="BL66" s="14"/>
      <c r="BM66" s="1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</row>
    <row r="67" spans="1:94" x14ac:dyDescent="0.2">
      <c r="A67" s="135">
        <v>40613</v>
      </c>
      <c r="B67" s="5">
        <v>261401</v>
      </c>
      <c r="C67" s="130">
        <v>3870.7</v>
      </c>
      <c r="D67" s="101">
        <v>16.395</v>
      </c>
      <c r="E67" s="101"/>
      <c r="F67" s="101"/>
      <c r="G67" s="165">
        <v>1888</v>
      </c>
      <c r="H67" s="208"/>
      <c r="I67" s="198"/>
      <c r="J67" s="216"/>
      <c r="K67" s="216"/>
      <c r="L67" s="216"/>
      <c r="M67" s="130">
        <v>59881</v>
      </c>
      <c r="N67" s="144">
        <v>12871</v>
      </c>
      <c r="O67" s="14">
        <v>0</v>
      </c>
      <c r="P67" s="213">
        <f t="shared" si="0"/>
        <v>5548</v>
      </c>
      <c r="Q67" s="180">
        <v>4058</v>
      </c>
      <c r="R67" s="180">
        <v>1490</v>
      </c>
      <c r="S67" s="180"/>
      <c r="T67" s="159">
        <v>0</v>
      </c>
      <c r="U67" s="159"/>
      <c r="V67" s="148">
        <v>233197</v>
      </c>
      <c r="W67" s="188"/>
      <c r="X67" s="188"/>
      <c r="Y67" s="188"/>
      <c r="Z67" s="188"/>
      <c r="AA67" s="188"/>
      <c r="AB67" s="188"/>
      <c r="AC67" s="187">
        <v>789</v>
      </c>
      <c r="AD67" s="188">
        <v>1713</v>
      </c>
      <c r="AE67" s="213">
        <f t="shared" si="1"/>
        <v>2502</v>
      </c>
      <c r="AF67" s="148">
        <v>89879</v>
      </c>
      <c r="AG67" s="14"/>
      <c r="AH67" s="14"/>
      <c r="AI67" s="14"/>
      <c r="AJ67" s="167"/>
      <c r="AK67" s="233"/>
      <c r="AL67" s="170"/>
      <c r="AM67" s="14"/>
      <c r="AN67" s="14"/>
      <c r="AO67" s="15">
        <v>88207</v>
      </c>
      <c r="AP67" s="125">
        <f t="shared" si="4"/>
        <v>0.33743941300913155</v>
      </c>
      <c r="AQ67" s="14">
        <v>1.69</v>
      </c>
      <c r="AR67" s="159">
        <v>48890</v>
      </c>
      <c r="AS67" s="159">
        <v>11163</v>
      </c>
      <c r="AT67" s="220"/>
      <c r="AU67" s="130">
        <f t="shared" si="26"/>
        <v>45583.333333333336</v>
      </c>
      <c r="AV67" s="125">
        <f t="shared" si="3"/>
        <v>0.31633390843952397</v>
      </c>
      <c r="AW67" s="125">
        <f t="shared" si="2"/>
        <v>0.2855383108710372</v>
      </c>
      <c r="AX67" s="133">
        <f t="shared" si="24"/>
        <v>3.0795597568486766E-2</v>
      </c>
      <c r="AY67" s="133">
        <f t="shared" si="6"/>
        <v>1.0590989867926111</v>
      </c>
      <c r="AZ67" s="133">
        <f t="shared" si="7"/>
        <v>0.62297772388016881</v>
      </c>
      <c r="BA67" s="133">
        <f t="shared" si="8"/>
        <v>0.54636208870611547</v>
      </c>
      <c r="BB67" s="125">
        <f t="shared" si="9"/>
        <v>0.64082957433661392</v>
      </c>
      <c r="BC67" s="131">
        <f t="shared" si="22"/>
        <v>276849.53424657532</v>
      </c>
      <c r="BD67" s="131">
        <f t="shared" si="25"/>
        <v>127410</v>
      </c>
      <c r="BE67" s="131">
        <f t="shared" si="23"/>
        <v>149439.53424657535</v>
      </c>
      <c r="BF67" s="14">
        <v>31</v>
      </c>
      <c r="BG67" s="167"/>
      <c r="BH67" s="179">
        <f t="shared" si="13"/>
        <v>0</v>
      </c>
      <c r="BI67" s="179">
        <f t="shared" si="14"/>
        <v>2.3545744446888058E-2</v>
      </c>
      <c r="BJ67" s="259">
        <f t="shared" si="16"/>
        <v>0.97645425555311194</v>
      </c>
      <c r="BK67" s="14">
        <f t="shared" si="17"/>
        <v>230950</v>
      </c>
      <c r="BL67" s="14"/>
      <c r="BM67" s="1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</row>
    <row r="68" spans="1:94" x14ac:dyDescent="0.2">
      <c r="A68" s="135">
        <v>40644</v>
      </c>
      <c r="B68" s="5">
        <v>245729</v>
      </c>
      <c r="C68" s="130">
        <v>3640</v>
      </c>
      <c r="D68" s="14">
        <v>16</v>
      </c>
      <c r="E68" s="14"/>
      <c r="F68" s="14"/>
      <c r="G68" s="165">
        <v>1617</v>
      </c>
      <c r="H68" s="208"/>
      <c r="I68" s="198"/>
      <c r="J68" s="216"/>
      <c r="K68" s="216"/>
      <c r="L68" s="216"/>
      <c r="M68" s="130">
        <v>59881</v>
      </c>
      <c r="N68" s="144">
        <v>12871</v>
      </c>
      <c r="O68" s="14">
        <v>0</v>
      </c>
      <c r="P68" s="213">
        <f t="shared" si="0"/>
        <v>3313</v>
      </c>
      <c r="Q68" s="180">
        <v>2104</v>
      </c>
      <c r="R68" s="180">
        <v>1209</v>
      </c>
      <c r="S68" s="180"/>
      <c r="T68" s="159">
        <v>0</v>
      </c>
      <c r="U68" s="159"/>
      <c r="V68" s="148">
        <v>171947</v>
      </c>
      <c r="W68" s="188"/>
      <c r="X68" s="188"/>
      <c r="Y68" s="188"/>
      <c r="Z68" s="188"/>
      <c r="AA68" s="188"/>
      <c r="AB68" s="188"/>
      <c r="AC68" s="187">
        <v>433</v>
      </c>
      <c r="AD68" s="188">
        <v>1784</v>
      </c>
      <c r="AE68" s="213">
        <f t="shared" si="1"/>
        <v>2217</v>
      </c>
      <c r="AF68" s="148">
        <v>85029</v>
      </c>
      <c r="AG68" s="14"/>
      <c r="AH68" s="14"/>
      <c r="AI68" s="14"/>
      <c r="AJ68" s="167"/>
      <c r="AK68" s="233"/>
      <c r="AL68" s="170"/>
      <c r="AM68" s="14"/>
      <c r="AN68" s="14"/>
      <c r="AO68" s="15">
        <v>80265</v>
      </c>
      <c r="AP68" s="125">
        <f t="shared" si="4"/>
        <v>0.32664032328296622</v>
      </c>
      <c r="AQ68" s="14">
        <v>1.65</v>
      </c>
      <c r="AR68" s="159">
        <v>39327</v>
      </c>
      <c r="AS68" s="159">
        <v>9153</v>
      </c>
      <c r="AT68" s="220"/>
      <c r="AU68" s="130">
        <f t="shared" si="26"/>
        <v>45583.333333333336</v>
      </c>
      <c r="AV68" s="125">
        <f t="shared" si="3"/>
        <v>0.32515087759279532</v>
      </c>
      <c r="AW68" s="125">
        <f t="shared" si="2"/>
        <v>0.30264641129048669</v>
      </c>
      <c r="AX68" s="133">
        <f t="shared" si="24"/>
        <v>2.2504466302308623E-2</v>
      </c>
      <c r="AY68" s="133">
        <f t="shared" si="6"/>
        <v>1.0903023416429849</v>
      </c>
      <c r="AZ68" s="133">
        <f t="shared" si="7"/>
        <v>0.62928673457345286</v>
      </c>
      <c r="BA68" s="133">
        <f t="shared" si="8"/>
        <v>0.71708142625343851</v>
      </c>
      <c r="BB68" s="125">
        <f t="shared" si="9"/>
        <v>0.84106674794901348</v>
      </c>
      <c r="BC68" s="131">
        <f t="shared" si="22"/>
        <v>267918.90410958906</v>
      </c>
      <c r="BD68" s="131">
        <f t="shared" si="25"/>
        <v>123300</v>
      </c>
      <c r="BE68" s="131">
        <f t="shared" si="23"/>
        <v>144618.90410958903</v>
      </c>
      <c r="BF68" s="14">
        <v>30</v>
      </c>
      <c r="BG68" s="14"/>
      <c r="BH68" s="179">
        <f t="shared" si="13"/>
        <v>0</v>
      </c>
      <c r="BI68" s="179">
        <f t="shared" si="14"/>
        <v>2.4521662634704202E-2</v>
      </c>
      <c r="BJ68" s="259">
        <f t="shared" si="16"/>
        <v>0.97547833736529577</v>
      </c>
      <c r="BK68" s="14">
        <f t="shared" si="17"/>
        <v>208644</v>
      </c>
      <c r="BL68" s="14"/>
      <c r="BM68" s="14"/>
    </row>
    <row r="69" spans="1:94" x14ac:dyDescent="0.2">
      <c r="A69" s="135">
        <v>40674</v>
      </c>
      <c r="B69" s="5">
        <v>233238</v>
      </c>
      <c r="C69" s="130">
        <v>3316</v>
      </c>
      <c r="D69" s="14">
        <v>15.5</v>
      </c>
      <c r="E69" s="14"/>
      <c r="F69" s="14"/>
      <c r="G69" s="165">
        <v>1478</v>
      </c>
      <c r="H69" s="208"/>
      <c r="I69" s="198"/>
      <c r="J69" s="216"/>
      <c r="K69" s="216"/>
      <c r="L69" s="216"/>
      <c r="M69" s="130">
        <v>63449</v>
      </c>
      <c r="N69" s="144">
        <v>30563</v>
      </c>
      <c r="O69" s="14">
        <v>0</v>
      </c>
      <c r="P69" s="213">
        <f t="shared" ref="P69:P164" si="27">Q69+R69+S69+T69+U69</f>
        <v>4937</v>
      </c>
      <c r="Q69" s="180">
        <v>3563</v>
      </c>
      <c r="R69" s="180">
        <v>1374</v>
      </c>
      <c r="S69" s="180"/>
      <c r="T69" s="159">
        <v>0</v>
      </c>
      <c r="U69" s="159"/>
      <c r="V69" s="148">
        <v>192975</v>
      </c>
      <c r="W69" s="188"/>
      <c r="X69" s="188"/>
      <c r="Y69" s="188"/>
      <c r="Z69" s="188"/>
      <c r="AA69" s="188"/>
      <c r="AB69" s="188"/>
      <c r="AC69" s="187">
        <v>354</v>
      </c>
      <c r="AD69" s="188">
        <v>1378</v>
      </c>
      <c r="AE69" s="213">
        <f t="shared" ref="AE69:AE133" si="28">SUM(AC69:AD69)</f>
        <v>1732</v>
      </c>
      <c r="AF69" s="148">
        <v>87905</v>
      </c>
      <c r="AG69" s="182"/>
      <c r="AH69" s="182"/>
      <c r="AI69" s="182"/>
      <c r="AJ69" s="223"/>
      <c r="AK69" s="233"/>
      <c r="AL69" s="227"/>
      <c r="AM69" s="182"/>
      <c r="AN69" s="182"/>
      <c r="AO69" s="15">
        <v>79715</v>
      </c>
      <c r="AP69" s="125">
        <f t="shared" si="4"/>
        <v>0.3417753539303201</v>
      </c>
      <c r="AQ69" s="14">
        <v>1.55</v>
      </c>
      <c r="AR69" s="159">
        <v>51326</v>
      </c>
      <c r="AS69" s="159">
        <v>9655</v>
      </c>
      <c r="AT69" s="220"/>
      <c r="AU69" s="130">
        <f t="shared" si="26"/>
        <v>45583.333333333336</v>
      </c>
      <c r="AV69" s="125">
        <f t="shared" si="3"/>
        <v>0.43800324132431251</v>
      </c>
      <c r="AW69" s="125">
        <f t="shared" ref="AW69:AW132" si="29">(M69+N69+G69)/B69</f>
        <v>0.40941013042471636</v>
      </c>
      <c r="AX69" s="133">
        <f t="shared" ref="AX69:AX80" si="30">AV69-AW69</f>
        <v>2.8593110899596152E-2</v>
      </c>
      <c r="AY69" s="133">
        <f t="shared" si="6"/>
        <v>1.1869829712421447</v>
      </c>
      <c r="AZ69" s="133">
        <f t="shared" si="7"/>
        <v>0.75118548435503651</v>
      </c>
      <c r="BA69" s="133">
        <f t="shared" si="8"/>
        <v>0.66024096385542164</v>
      </c>
      <c r="BB69" s="125">
        <f t="shared" si="9"/>
        <v>0.77439841558012878</v>
      </c>
      <c r="BC69" s="131">
        <f t="shared" ref="BC69:BC80" si="31">BD69+BE69</f>
        <v>276849.53424657532</v>
      </c>
      <c r="BD69" s="131">
        <f t="shared" ref="BD69:BD80" si="32">$BD$4*BF69</f>
        <v>127410</v>
      </c>
      <c r="BE69" s="131">
        <f t="shared" ref="BE69:BE80" si="33">$BE$4*BF69</f>
        <v>149439.53424657535</v>
      </c>
      <c r="BF69" s="14">
        <v>31</v>
      </c>
      <c r="BG69" s="14"/>
      <c r="BH69" s="179">
        <f t="shared" si="13"/>
        <v>0</v>
      </c>
      <c r="BI69" s="179">
        <f t="shared" si="14"/>
        <v>1.4657703271922734E-2</v>
      </c>
      <c r="BJ69" s="259">
        <f t="shared" ref="BJ69:BJ80" si="34">1-BI69-BH69</f>
        <v>0.98534229672807727</v>
      </c>
      <c r="BK69" s="14">
        <f t="shared" si="17"/>
        <v>242855</v>
      </c>
      <c r="BL69" s="14"/>
      <c r="BM69" s="14"/>
    </row>
    <row r="70" spans="1:94" x14ac:dyDescent="0.2">
      <c r="A70" s="135">
        <v>40706</v>
      </c>
      <c r="B70" s="5">
        <v>246536</v>
      </c>
      <c r="C70" s="130">
        <v>3600</v>
      </c>
      <c r="D70" s="14">
        <v>15.3</v>
      </c>
      <c r="E70" s="14"/>
      <c r="F70" s="14"/>
      <c r="G70" s="165">
        <v>1255</v>
      </c>
      <c r="H70" s="208"/>
      <c r="I70" s="198"/>
      <c r="J70" s="216"/>
      <c r="K70" s="216"/>
      <c r="L70" s="216"/>
      <c r="M70" s="130">
        <v>71815</v>
      </c>
      <c r="N70" s="144">
        <v>28649</v>
      </c>
      <c r="O70" s="14">
        <v>0</v>
      </c>
      <c r="P70" s="213">
        <f t="shared" si="27"/>
        <v>5072</v>
      </c>
      <c r="Q70" s="180">
        <v>3821</v>
      </c>
      <c r="R70" s="180">
        <v>1251</v>
      </c>
      <c r="S70" s="180"/>
      <c r="T70" s="159">
        <v>0</v>
      </c>
      <c r="U70" s="159"/>
      <c r="V70" s="148">
        <v>232746</v>
      </c>
      <c r="W70" s="188"/>
      <c r="X70" s="188"/>
      <c r="Y70" s="188"/>
      <c r="Z70" s="188"/>
      <c r="AA70" s="188"/>
      <c r="AB70" s="188"/>
      <c r="AC70" s="187">
        <v>463</v>
      </c>
      <c r="AD70" s="188">
        <v>2167</v>
      </c>
      <c r="AE70" s="213">
        <f t="shared" si="28"/>
        <v>2630</v>
      </c>
      <c r="AF70" s="148">
        <v>84866</v>
      </c>
      <c r="AG70" s="14"/>
      <c r="AH70" s="14"/>
      <c r="AI70" s="14"/>
      <c r="AJ70" s="167"/>
      <c r="AK70" s="233"/>
      <c r="AL70" s="170"/>
      <c r="AM70" s="14"/>
      <c r="AN70" s="14"/>
      <c r="AO70" s="15">
        <v>77891</v>
      </c>
      <c r="AP70" s="125">
        <f t="shared" si="4"/>
        <v>0.31594168802933448</v>
      </c>
      <c r="AQ70" s="14">
        <v>1.65</v>
      </c>
      <c r="AR70" s="159">
        <v>51725</v>
      </c>
      <c r="AS70" s="159">
        <v>8429</v>
      </c>
      <c r="AT70" s="220"/>
      <c r="AU70" s="130">
        <f t="shared" si="26"/>
        <v>45583.333333333336</v>
      </c>
      <c r="AV70" s="125">
        <f t="shared" si="3"/>
        <v>0.44383376058668916</v>
      </c>
      <c r="AW70" s="125">
        <f t="shared" si="29"/>
        <v>0.41259288704286595</v>
      </c>
      <c r="AX70" s="133">
        <f t="shared" si="30"/>
        <v>3.1240873543823211E-2</v>
      </c>
      <c r="AY70" s="133">
        <f t="shared" si="6"/>
        <v>1.0867333943504764</v>
      </c>
      <c r="AZ70" s="133">
        <f t="shared" si="7"/>
        <v>0.72853457507220043</v>
      </c>
      <c r="BA70" s="133">
        <f t="shared" si="8"/>
        <v>0.52976205820937849</v>
      </c>
      <c r="BB70" s="125">
        <f t="shared" si="9"/>
        <v>0.6213593535854065</v>
      </c>
      <c r="BC70" s="131">
        <f t="shared" si="31"/>
        <v>267918.90410958906</v>
      </c>
      <c r="BD70" s="131">
        <f t="shared" si="32"/>
        <v>123300</v>
      </c>
      <c r="BE70" s="131">
        <f t="shared" si="33"/>
        <v>144618.90410958903</v>
      </c>
      <c r="BF70" s="14">
        <v>30</v>
      </c>
      <c r="BG70" s="14"/>
      <c r="BH70" s="179">
        <f t="shared" si="13"/>
        <v>0</v>
      </c>
      <c r="BI70" s="179">
        <f t="shared" si="14"/>
        <v>2.1569915591654724E-2</v>
      </c>
      <c r="BJ70" s="259">
        <f t="shared" si="34"/>
        <v>0.97843008440834522</v>
      </c>
      <c r="BK70" s="14">
        <f t="shared" si="17"/>
        <v>247466</v>
      </c>
      <c r="BL70" s="14"/>
      <c r="BM70" s="14"/>
    </row>
    <row r="71" spans="1:94" x14ac:dyDescent="0.2">
      <c r="A71" s="135">
        <v>40737</v>
      </c>
      <c r="B71" s="5">
        <v>266452</v>
      </c>
      <c r="C71" s="130">
        <v>3537.2</v>
      </c>
      <c r="D71" s="14">
        <v>14.8</v>
      </c>
      <c r="E71" s="14"/>
      <c r="F71" s="14"/>
      <c r="G71" s="165">
        <v>1169</v>
      </c>
      <c r="H71" s="208"/>
      <c r="I71" s="198"/>
      <c r="J71" s="216"/>
      <c r="K71" s="216"/>
      <c r="L71" s="216"/>
      <c r="M71" s="130">
        <v>77953</v>
      </c>
      <c r="N71" s="144">
        <v>47641</v>
      </c>
      <c r="O71" s="14">
        <v>0</v>
      </c>
      <c r="P71" s="213">
        <f t="shared" si="27"/>
        <v>4702</v>
      </c>
      <c r="Q71" s="180">
        <v>3520</v>
      </c>
      <c r="R71" s="180">
        <v>1182</v>
      </c>
      <c r="S71" s="180"/>
      <c r="T71" s="181">
        <v>0</v>
      </c>
      <c r="U71" s="181"/>
      <c r="V71" s="5">
        <v>200500</v>
      </c>
      <c r="W71" s="194"/>
      <c r="X71" s="194"/>
      <c r="Y71" s="194"/>
      <c r="Z71" s="194"/>
      <c r="AA71" s="194"/>
      <c r="AB71" s="194"/>
      <c r="AC71" s="187">
        <v>311</v>
      </c>
      <c r="AD71" s="188">
        <v>2205</v>
      </c>
      <c r="AE71" s="213">
        <f t="shared" si="28"/>
        <v>2516</v>
      </c>
      <c r="AF71" s="5">
        <v>98772</v>
      </c>
      <c r="AG71" s="14"/>
      <c r="AH71" s="14"/>
      <c r="AI71" s="14"/>
      <c r="AJ71" s="167"/>
      <c r="AK71" s="233"/>
      <c r="AL71" s="170"/>
      <c r="AM71" s="14"/>
      <c r="AN71" s="14"/>
      <c r="AO71" s="15">
        <v>78643</v>
      </c>
      <c r="AP71" s="125">
        <f t="shared" si="4"/>
        <v>0.29514884482008019</v>
      </c>
      <c r="AQ71" s="14">
        <v>1.64</v>
      </c>
      <c r="AR71" s="159">
        <v>53454</v>
      </c>
      <c r="AS71" s="159">
        <v>7042</v>
      </c>
      <c r="AT71" s="159"/>
      <c r="AU71" s="101">
        <f t="shared" si="26"/>
        <v>45583.333333333336</v>
      </c>
      <c r="AV71" s="125">
        <f t="shared" si="3"/>
        <v>0.50283353099244887</v>
      </c>
      <c r="AW71" s="125">
        <f t="shared" si="29"/>
        <v>0.47574422410040085</v>
      </c>
      <c r="AX71" s="125">
        <f t="shared" si="30"/>
        <v>2.7089306892048026E-2</v>
      </c>
      <c r="AY71" s="125">
        <f t="shared" si="6"/>
        <v>1.0390221662685035</v>
      </c>
      <c r="AZ71" s="125">
        <f t="shared" si="7"/>
        <v>0.77089306892048104</v>
      </c>
      <c r="BA71" s="125">
        <f t="shared" si="8"/>
        <v>0.63546134663341647</v>
      </c>
      <c r="BB71" s="125">
        <f t="shared" si="9"/>
        <v>0.74533433539439076</v>
      </c>
      <c r="BC71" s="14">
        <f t="shared" si="31"/>
        <v>276849.53424657532</v>
      </c>
      <c r="BD71" s="14">
        <f t="shared" si="32"/>
        <v>127410</v>
      </c>
      <c r="BE71" s="14">
        <f t="shared" si="33"/>
        <v>149439.53424657535</v>
      </c>
      <c r="BF71" s="14">
        <v>31</v>
      </c>
      <c r="BG71" s="14"/>
      <c r="BH71" s="179">
        <f t="shared" si="13"/>
        <v>0</v>
      </c>
      <c r="BI71" s="179">
        <f t="shared" si="14"/>
        <v>1.7556571173782187E-2</v>
      </c>
      <c r="BJ71" s="259">
        <f t="shared" si="34"/>
        <v>0.98244342882621782</v>
      </c>
      <c r="BK71" s="14">
        <f t="shared" si="17"/>
        <v>273120</v>
      </c>
      <c r="BL71" s="14"/>
      <c r="BM71" s="14"/>
    </row>
    <row r="72" spans="1:94" x14ac:dyDescent="0.2">
      <c r="A72" s="135">
        <v>40766</v>
      </c>
      <c r="B72" s="5">
        <v>253310</v>
      </c>
      <c r="C72" s="130">
        <v>3741.6</v>
      </c>
      <c r="D72" s="14">
        <v>14.4</v>
      </c>
      <c r="E72" s="14"/>
      <c r="F72" s="14"/>
      <c r="G72" s="165">
        <v>1527</v>
      </c>
      <c r="H72" s="208"/>
      <c r="I72" s="198"/>
      <c r="J72" s="216"/>
      <c r="K72" s="216"/>
      <c r="L72" s="216"/>
      <c r="M72" s="130">
        <v>68520</v>
      </c>
      <c r="N72" s="144">
        <v>87718</v>
      </c>
      <c r="O72" s="14">
        <v>0</v>
      </c>
      <c r="P72" s="213">
        <f t="shared" si="27"/>
        <v>4849</v>
      </c>
      <c r="Q72" s="180">
        <v>3603</v>
      </c>
      <c r="R72" s="180">
        <v>1246</v>
      </c>
      <c r="S72" s="180"/>
      <c r="T72" s="183">
        <v>0</v>
      </c>
      <c r="U72" s="183"/>
      <c r="V72" s="5">
        <v>201707</v>
      </c>
      <c r="W72" s="194"/>
      <c r="X72" s="194"/>
      <c r="Y72" s="194"/>
      <c r="Z72" s="194"/>
      <c r="AA72" s="194"/>
      <c r="AB72" s="194"/>
      <c r="AC72" s="187">
        <v>326</v>
      </c>
      <c r="AD72" s="188">
        <v>1983</v>
      </c>
      <c r="AE72" s="213">
        <f t="shared" si="28"/>
        <v>2309</v>
      </c>
      <c r="AF72" s="5">
        <v>92939</v>
      </c>
      <c r="AK72" s="233"/>
      <c r="AO72" s="15">
        <v>69553</v>
      </c>
      <c r="AP72" s="125">
        <f t="shared" si="4"/>
        <v>0.27457660574000237</v>
      </c>
      <c r="AQ72" s="14">
        <v>1.55</v>
      </c>
      <c r="AR72" s="159">
        <v>48261</v>
      </c>
      <c r="AS72" s="159">
        <v>9130</v>
      </c>
      <c r="AT72" s="159"/>
      <c r="AU72" s="101">
        <f t="shared" si="26"/>
        <v>45583.333333333336</v>
      </c>
      <c r="AV72" s="125">
        <f t="shared" si="3"/>
        <v>0.65107180924558838</v>
      </c>
      <c r="AW72" s="125">
        <f t="shared" si="29"/>
        <v>0.62281394338952267</v>
      </c>
      <c r="AX72" s="125">
        <f t="shared" si="30"/>
        <v>2.8257865856065711E-2</v>
      </c>
      <c r="AY72" s="125">
        <f t="shared" si="6"/>
        <v>1.0929277732682299</v>
      </c>
      <c r="AZ72" s="125">
        <f t="shared" si="7"/>
        <v>0.89739054912952509</v>
      </c>
      <c r="BA72" s="125">
        <f t="shared" si="8"/>
        <v>0.63165879220850041</v>
      </c>
      <c r="BB72" s="125">
        <f t="shared" si="9"/>
        <v>0.74087430900551465</v>
      </c>
      <c r="BC72" s="14">
        <f t="shared" si="31"/>
        <v>276849.53424657532</v>
      </c>
      <c r="BD72" s="14">
        <f t="shared" si="32"/>
        <v>127410</v>
      </c>
      <c r="BE72" s="14">
        <f t="shared" si="33"/>
        <v>149439.53424657535</v>
      </c>
      <c r="BF72" s="14">
        <v>31</v>
      </c>
      <c r="BG72" s="14"/>
      <c r="BH72" s="179">
        <f t="shared" si="13"/>
        <v>0</v>
      </c>
      <c r="BI72" s="179">
        <f t="shared" si="14"/>
        <v>1.2692174759021492E-2</v>
      </c>
      <c r="BJ72" s="259">
        <f t="shared" si="34"/>
        <v>0.98730782524097849</v>
      </c>
      <c r="BK72" s="14">
        <f t="shared" si="17"/>
        <v>291867</v>
      </c>
      <c r="BL72" s="14"/>
      <c r="BM72" s="14"/>
    </row>
    <row r="73" spans="1:94" x14ac:dyDescent="0.2">
      <c r="A73" s="135">
        <v>40798</v>
      </c>
      <c r="B73" s="5">
        <v>253025</v>
      </c>
      <c r="C73" s="130">
        <v>4311.4470000000001</v>
      </c>
      <c r="D73" s="14">
        <v>14.93</v>
      </c>
      <c r="E73" s="14"/>
      <c r="F73" s="14"/>
      <c r="G73" s="165">
        <v>1533</v>
      </c>
      <c r="H73" s="208"/>
      <c r="I73" s="198"/>
      <c r="J73" s="216"/>
      <c r="K73" s="216"/>
      <c r="L73" s="216"/>
      <c r="M73" s="130">
        <v>71456</v>
      </c>
      <c r="N73" s="144">
        <v>82487</v>
      </c>
      <c r="O73" s="14">
        <v>0</v>
      </c>
      <c r="P73" s="213">
        <f t="shared" si="27"/>
        <v>4507</v>
      </c>
      <c r="Q73" s="180">
        <v>3382</v>
      </c>
      <c r="R73" s="180">
        <v>1125</v>
      </c>
      <c r="S73" s="180"/>
      <c r="T73" s="183">
        <v>0</v>
      </c>
      <c r="U73" s="183"/>
      <c r="V73" s="5">
        <v>194174</v>
      </c>
      <c r="W73" s="194"/>
      <c r="X73" s="194"/>
      <c r="Y73" s="194"/>
      <c r="Z73" s="194"/>
      <c r="AA73" s="194"/>
      <c r="AB73" s="194"/>
      <c r="AC73" s="187">
        <v>428</v>
      </c>
      <c r="AD73" s="188">
        <v>2604</v>
      </c>
      <c r="AE73" s="213">
        <f t="shared" si="28"/>
        <v>3032</v>
      </c>
      <c r="AF73" s="184">
        <v>82808</v>
      </c>
      <c r="AK73" s="233"/>
      <c r="AO73" s="185">
        <v>61114</v>
      </c>
      <c r="AP73" s="125">
        <f t="shared" si="4"/>
        <v>0.2415334453117281</v>
      </c>
      <c r="AQ73" s="14">
        <v>1.56</v>
      </c>
      <c r="AR73" s="159">
        <v>41928</v>
      </c>
      <c r="AS73" s="159">
        <v>10168</v>
      </c>
      <c r="AT73" s="159"/>
      <c r="AU73" s="101">
        <f t="shared" si="26"/>
        <v>45583.333333333336</v>
      </c>
      <c r="AV73" s="125">
        <f t="shared" si="3"/>
        <v>0.64426440075091396</v>
      </c>
      <c r="AW73" s="125">
        <f t="shared" si="29"/>
        <v>0.614468925995455</v>
      </c>
      <c r="AX73" s="125">
        <f t="shared" si="30"/>
        <v>2.9795474755458962E-2</v>
      </c>
      <c r="AY73" s="125">
        <f t="shared" si="6"/>
        <v>1.0588633696654048</v>
      </c>
      <c r="AZ73" s="125">
        <f t="shared" si="7"/>
        <v>0.85600237130718304</v>
      </c>
      <c r="BA73" s="125">
        <f t="shared" si="8"/>
        <v>0.63499747649015836</v>
      </c>
      <c r="BB73" s="125">
        <f t="shared" si="9"/>
        <v>0.74479026084640076</v>
      </c>
      <c r="BC73" s="14">
        <f t="shared" si="31"/>
        <v>267918.90410958906</v>
      </c>
      <c r="BD73" s="14">
        <f t="shared" si="32"/>
        <v>123300</v>
      </c>
      <c r="BE73" s="14">
        <f t="shared" si="33"/>
        <v>144618.90410958903</v>
      </c>
      <c r="BF73" s="14">
        <v>30</v>
      </c>
      <c r="BG73" s="14"/>
      <c r="BH73" s="179">
        <f t="shared" si="13"/>
        <v>0</v>
      </c>
      <c r="BI73" s="179">
        <f t="shared" si="14"/>
        <v>1.6915351786050681E-2</v>
      </c>
      <c r="BJ73" s="259">
        <f t="shared" si="34"/>
        <v>0.98308464821394936</v>
      </c>
      <c r="BK73" s="14">
        <f t="shared" si="17"/>
        <v>276225</v>
      </c>
      <c r="BL73" s="14"/>
      <c r="BM73" s="14"/>
    </row>
    <row r="74" spans="1:94" x14ac:dyDescent="0.2">
      <c r="A74" s="135">
        <v>40829</v>
      </c>
      <c r="B74" s="5">
        <v>265724</v>
      </c>
      <c r="C74" s="130">
        <v>3840.83</v>
      </c>
      <c r="D74" s="14">
        <v>16</v>
      </c>
      <c r="E74" s="14"/>
      <c r="F74" s="14"/>
      <c r="G74" s="165">
        <v>1560</v>
      </c>
      <c r="H74" s="208"/>
      <c r="I74" s="198"/>
      <c r="J74" s="216"/>
      <c r="K74" s="216"/>
      <c r="L74" s="216"/>
      <c r="M74" s="130">
        <v>63878</v>
      </c>
      <c r="N74" s="144">
        <v>20439</v>
      </c>
      <c r="O74" s="14">
        <v>0</v>
      </c>
      <c r="P74" s="213">
        <f t="shared" si="27"/>
        <v>5053</v>
      </c>
      <c r="Q74" s="180">
        <v>3985</v>
      </c>
      <c r="R74" s="180">
        <v>1068</v>
      </c>
      <c r="S74" s="180"/>
      <c r="T74" s="183">
        <v>0</v>
      </c>
      <c r="U74" s="183"/>
      <c r="V74" s="5">
        <v>172947</v>
      </c>
      <c r="W74" s="194"/>
      <c r="X74" s="194"/>
      <c r="Y74" s="194"/>
      <c r="Z74" s="194"/>
      <c r="AA74" s="194"/>
      <c r="AB74" s="194"/>
      <c r="AC74" s="187">
        <v>251</v>
      </c>
      <c r="AD74" s="188">
        <v>2087</v>
      </c>
      <c r="AE74" s="213">
        <f t="shared" si="28"/>
        <v>2338</v>
      </c>
      <c r="AF74" s="5">
        <v>78266</v>
      </c>
      <c r="AG74" s="14"/>
      <c r="AH74" s="14"/>
      <c r="AI74" s="14"/>
      <c r="AJ74" s="167"/>
      <c r="AK74" s="233"/>
      <c r="AL74" s="170"/>
      <c r="AM74" s="14"/>
      <c r="AN74" s="14"/>
      <c r="AO74" s="15">
        <v>60209</v>
      </c>
      <c r="AP74" s="125">
        <f t="shared" si="4"/>
        <v>0.22658472700998028</v>
      </c>
      <c r="AQ74" s="125">
        <v>1.6040000000000001</v>
      </c>
      <c r="AR74" s="159">
        <v>42909</v>
      </c>
      <c r="AS74" s="159">
        <v>8446</v>
      </c>
      <c r="AT74" s="159"/>
      <c r="AU74" s="101">
        <f t="shared" si="26"/>
        <v>45583.333333333336</v>
      </c>
      <c r="AV74" s="125">
        <f t="shared" si="3"/>
        <v>0.35099577004711657</v>
      </c>
      <c r="AW74" s="125">
        <f t="shared" si="29"/>
        <v>0.32318119552618507</v>
      </c>
      <c r="AX74" s="125">
        <f t="shared" si="30"/>
        <v>2.7814574520931501E-2</v>
      </c>
      <c r="AY74" s="125">
        <f t="shared" si="6"/>
        <v>1.0418687594894527</v>
      </c>
      <c r="AZ74" s="125">
        <f t="shared" si="7"/>
        <v>0.5497659225361653</v>
      </c>
      <c r="BA74" s="125">
        <f t="shared" si="8"/>
        <v>0.7366996825617097</v>
      </c>
      <c r="BB74" s="125">
        <f t="shared" si="9"/>
        <v>0.86407705393314338</v>
      </c>
      <c r="BC74" s="14">
        <f t="shared" si="31"/>
        <v>276849.53424657532</v>
      </c>
      <c r="BD74" s="14">
        <f t="shared" si="32"/>
        <v>127410</v>
      </c>
      <c r="BE74" s="14">
        <f t="shared" si="33"/>
        <v>149439.53424657535</v>
      </c>
      <c r="BF74" s="14">
        <v>31</v>
      </c>
      <c r="BG74" s="14"/>
      <c r="BH74" s="179">
        <f t="shared" si="13"/>
        <v>0</v>
      </c>
      <c r="BI74" s="179">
        <f t="shared" si="14"/>
        <v>2.4751829405695175E-2</v>
      </c>
      <c r="BJ74" s="259">
        <f t="shared" si="34"/>
        <v>0.9752481705943048</v>
      </c>
      <c r="BK74" s="14">
        <f t="shared" si="17"/>
        <v>204832</v>
      </c>
      <c r="BL74" s="14"/>
      <c r="BM74" s="14"/>
    </row>
    <row r="75" spans="1:94" x14ac:dyDescent="0.2">
      <c r="A75" s="135">
        <v>40861</v>
      </c>
      <c r="B75" s="5">
        <v>268214</v>
      </c>
      <c r="C75" s="130">
        <v>3595.85</v>
      </c>
      <c r="D75" s="14">
        <v>15.48</v>
      </c>
      <c r="E75" s="14"/>
      <c r="F75" s="14"/>
      <c r="G75" s="165">
        <v>1437</v>
      </c>
      <c r="H75" s="208"/>
      <c r="I75" s="198"/>
      <c r="J75" s="216"/>
      <c r="K75" s="216"/>
      <c r="L75" s="216"/>
      <c r="M75" s="130">
        <v>69398</v>
      </c>
      <c r="N75" s="144">
        <v>39287</v>
      </c>
      <c r="O75" s="14">
        <v>0</v>
      </c>
      <c r="P75" s="213">
        <f t="shared" si="27"/>
        <v>5354</v>
      </c>
      <c r="Q75" s="180">
        <v>4249</v>
      </c>
      <c r="R75" s="180">
        <v>1105</v>
      </c>
      <c r="S75" s="180"/>
      <c r="T75" s="183">
        <v>0</v>
      </c>
      <c r="U75" s="183"/>
      <c r="V75" s="5">
        <v>187267</v>
      </c>
      <c r="W75" s="194"/>
      <c r="X75" s="194"/>
      <c r="Y75" s="194"/>
      <c r="Z75" s="194"/>
      <c r="AA75" s="194"/>
      <c r="AB75" s="194"/>
      <c r="AC75" s="187">
        <v>257</v>
      </c>
      <c r="AD75" s="188">
        <v>1880</v>
      </c>
      <c r="AE75" s="213">
        <f t="shared" si="28"/>
        <v>2137</v>
      </c>
      <c r="AF75" s="5">
        <v>89746</v>
      </c>
      <c r="AK75" s="233"/>
      <c r="AO75" s="15">
        <v>59862</v>
      </c>
      <c r="AP75" s="125">
        <f t="shared" si="4"/>
        <v>0.22318745479356036</v>
      </c>
      <c r="AQ75" s="125">
        <v>1.6</v>
      </c>
      <c r="AR75" s="159">
        <v>44595</v>
      </c>
      <c r="AS75" s="159">
        <v>8446</v>
      </c>
      <c r="AT75" s="159"/>
      <c r="AU75" s="101">
        <f t="shared" si="26"/>
        <v>45583.333333333336</v>
      </c>
      <c r="AV75" s="125">
        <f t="shared" si="3"/>
        <v>0.4385043286331064</v>
      </c>
      <c r="AW75" s="125">
        <f t="shared" si="29"/>
        <v>0.41057513776312943</v>
      </c>
      <c r="AX75" s="125">
        <f t="shared" si="30"/>
        <v>2.7929190869976972E-2</v>
      </c>
      <c r="AY75" s="125">
        <f t="shared" si="6"/>
        <v>0.9988997744695991</v>
      </c>
      <c r="AZ75" s="125">
        <f t="shared" si="7"/>
        <v>0.63376259255668976</v>
      </c>
      <c r="BA75" s="125">
        <f t="shared" si="8"/>
        <v>0.65841819434283666</v>
      </c>
      <c r="BB75" s="125">
        <f t="shared" si="9"/>
        <v>0.77226048427960625</v>
      </c>
      <c r="BC75" s="14">
        <f t="shared" si="31"/>
        <v>267918.90410958906</v>
      </c>
      <c r="BD75" s="14">
        <f t="shared" si="32"/>
        <v>123300</v>
      </c>
      <c r="BE75" s="14">
        <f t="shared" si="33"/>
        <v>144618.90410958903</v>
      </c>
      <c r="BF75" s="14">
        <v>30</v>
      </c>
      <c r="BG75" s="14"/>
      <c r="BH75" s="179">
        <f t="shared" si="13"/>
        <v>0</v>
      </c>
      <c r="BI75" s="179">
        <f t="shared" si="14"/>
        <v>1.7297695174127065E-2</v>
      </c>
      <c r="BJ75" s="259">
        <f t="shared" si="34"/>
        <v>0.98270230482587295</v>
      </c>
      <c r="BK75" s="14">
        <f t="shared" si="17"/>
        <v>230516</v>
      </c>
      <c r="BL75" s="14"/>
      <c r="BM75" s="14"/>
    </row>
    <row r="76" spans="1:94" x14ac:dyDescent="0.2">
      <c r="A76" s="135">
        <v>40892</v>
      </c>
      <c r="B76" s="5">
        <v>254033</v>
      </c>
      <c r="C76" s="130">
        <v>4275.95</v>
      </c>
      <c r="D76" s="14">
        <v>14.11</v>
      </c>
      <c r="E76" s="14"/>
      <c r="F76" s="14"/>
      <c r="G76" s="165">
        <v>1373</v>
      </c>
      <c r="H76" s="208"/>
      <c r="I76" s="198"/>
      <c r="J76" s="216"/>
      <c r="K76" s="216"/>
      <c r="L76" s="216"/>
      <c r="M76" s="130">
        <v>60395</v>
      </c>
      <c r="N76" s="144">
        <v>41705</v>
      </c>
      <c r="O76" s="14">
        <v>0</v>
      </c>
      <c r="P76" s="213">
        <f t="shared" si="27"/>
        <v>4126</v>
      </c>
      <c r="Q76" s="180">
        <v>3232</v>
      </c>
      <c r="R76" s="180">
        <v>894</v>
      </c>
      <c r="S76" s="180"/>
      <c r="T76" s="183">
        <v>0</v>
      </c>
      <c r="U76" s="183"/>
      <c r="V76" s="5">
        <v>123221</v>
      </c>
      <c r="W76" s="194"/>
      <c r="X76" s="194"/>
      <c r="Y76" s="194"/>
      <c r="Z76" s="194"/>
      <c r="AA76" s="194"/>
      <c r="AB76" s="194"/>
      <c r="AC76" s="187">
        <v>104</v>
      </c>
      <c r="AD76" s="188">
        <v>1032</v>
      </c>
      <c r="AE76" s="213">
        <f t="shared" si="28"/>
        <v>1136</v>
      </c>
      <c r="AF76" s="5">
        <v>49369</v>
      </c>
      <c r="AK76" s="233"/>
      <c r="AO76" s="15">
        <v>59462</v>
      </c>
      <c r="AP76" s="125">
        <f t="shared" si="4"/>
        <v>0.23407195128192007</v>
      </c>
      <c r="AQ76" s="125">
        <v>1.5940000000000001</v>
      </c>
      <c r="AR76" s="159">
        <v>28163</v>
      </c>
      <c r="AS76" s="159">
        <v>6763</v>
      </c>
      <c r="AT76" s="159"/>
      <c r="AU76" s="101">
        <f t="shared" si="26"/>
        <v>45583.333333333336</v>
      </c>
      <c r="AV76" s="125">
        <f t="shared" si="3"/>
        <v>0.42803494034239647</v>
      </c>
      <c r="AW76" s="125">
        <f t="shared" si="29"/>
        <v>0.4073210960780686</v>
      </c>
      <c r="AX76" s="125">
        <f t="shared" si="30"/>
        <v>2.0713844264327874E-2</v>
      </c>
      <c r="AY76" s="125">
        <f t="shared" si="6"/>
        <v>1.089817205821981</v>
      </c>
      <c r="AZ76" s="125">
        <f t="shared" si="7"/>
        <v>0.6413930473599887</v>
      </c>
      <c r="BA76" s="125">
        <f t="shared" si="8"/>
        <v>1.0339958286331064</v>
      </c>
      <c r="BB76" s="125">
        <f t="shared" si="9"/>
        <v>1.2127765092522813</v>
      </c>
      <c r="BC76" s="14">
        <f t="shared" si="31"/>
        <v>276849.53424657532</v>
      </c>
      <c r="BD76" s="14">
        <f t="shared" si="32"/>
        <v>127410</v>
      </c>
      <c r="BE76" s="14">
        <f t="shared" si="33"/>
        <v>149439.53424657535</v>
      </c>
      <c r="BF76" s="14">
        <v>31</v>
      </c>
      <c r="BG76" s="14"/>
      <c r="BH76" s="179">
        <f t="shared" si="13"/>
        <v>0</v>
      </c>
      <c r="BI76" s="179">
        <f t="shared" si="14"/>
        <v>1.0107737512242899E-2</v>
      </c>
      <c r="BJ76" s="259">
        <f t="shared" si="34"/>
        <v>0.98989226248775708</v>
      </c>
      <c r="BK76" s="14">
        <f t="shared" si="17"/>
        <v>203123</v>
      </c>
      <c r="BL76" s="14"/>
      <c r="BM76" s="14"/>
    </row>
    <row r="77" spans="1:94" x14ac:dyDescent="0.2">
      <c r="A77" s="135">
        <v>40909</v>
      </c>
      <c r="B77" s="5">
        <v>263543</v>
      </c>
      <c r="C77" s="130">
        <v>3326</v>
      </c>
      <c r="D77" s="14">
        <v>15.65</v>
      </c>
      <c r="E77" s="14"/>
      <c r="F77" s="14"/>
      <c r="G77" s="165">
        <v>1414</v>
      </c>
      <c r="H77" s="208"/>
      <c r="I77" s="198"/>
      <c r="J77" s="216"/>
      <c r="K77" s="216"/>
      <c r="L77" s="216"/>
      <c r="M77" s="130">
        <v>62755</v>
      </c>
      <c r="N77" s="144">
        <v>33341</v>
      </c>
      <c r="O77" s="14">
        <v>0</v>
      </c>
      <c r="P77" s="213">
        <f t="shared" si="27"/>
        <v>4399</v>
      </c>
      <c r="Q77" s="180">
        <v>3230</v>
      </c>
      <c r="R77" s="180">
        <v>1169</v>
      </c>
      <c r="S77" s="180"/>
      <c r="T77" s="183">
        <v>0</v>
      </c>
      <c r="U77" s="183"/>
      <c r="V77" s="5">
        <v>159805</v>
      </c>
      <c r="W77" s="194"/>
      <c r="X77" s="194"/>
      <c r="Y77" s="194"/>
      <c r="Z77" s="194"/>
      <c r="AA77" s="194"/>
      <c r="AB77" s="194"/>
      <c r="AC77" s="187">
        <v>138</v>
      </c>
      <c r="AD77" s="188">
        <v>943</v>
      </c>
      <c r="AE77" s="213">
        <f t="shared" si="28"/>
        <v>1081</v>
      </c>
      <c r="AF77" s="184">
        <v>61897</v>
      </c>
      <c r="AK77" s="233"/>
      <c r="AO77" s="185">
        <v>70171</v>
      </c>
      <c r="AP77" s="129">
        <f t="shared" si="4"/>
        <v>0.26626015488933497</v>
      </c>
      <c r="AQ77" s="129">
        <v>1.651967213</v>
      </c>
      <c r="AR77" s="159">
        <v>17481</v>
      </c>
      <c r="AS77" s="159">
        <v>7885</v>
      </c>
      <c r="AT77" s="159"/>
      <c r="AU77" s="101">
        <f t="shared" si="26"/>
        <v>45583.333333333336</v>
      </c>
      <c r="AV77" s="125">
        <f t="shared" si="3"/>
        <v>0.39079011774169681</v>
      </c>
      <c r="AW77" s="125">
        <f t="shared" si="29"/>
        <v>0.36999654705304258</v>
      </c>
      <c r="AX77" s="125">
        <f t="shared" si="30"/>
        <v>2.0793570688654228E-2</v>
      </c>
      <c r="AY77" s="125">
        <f t="shared" si="6"/>
        <v>1.0504909416929129</v>
      </c>
      <c r="AZ77" s="125">
        <f t="shared" si="7"/>
        <v>0.63625670194237749</v>
      </c>
      <c r="BA77" s="125">
        <f t="shared" si="8"/>
        <v>0.79728419010669249</v>
      </c>
      <c r="BB77" s="125">
        <f t="shared" si="9"/>
        <v>0.93513678700025249</v>
      </c>
      <c r="BC77" s="14">
        <f t="shared" si="31"/>
        <v>276849.53424657532</v>
      </c>
      <c r="BD77" s="14">
        <f t="shared" si="32"/>
        <v>127410</v>
      </c>
      <c r="BE77" s="14">
        <f t="shared" si="33"/>
        <v>149439.53424657535</v>
      </c>
      <c r="BF77" s="14">
        <v>31</v>
      </c>
      <c r="BG77" s="14"/>
      <c r="BH77" s="179">
        <f t="shared" si="13"/>
        <v>0</v>
      </c>
      <c r="BI77" s="179">
        <f t="shared" si="14"/>
        <v>9.8131035631035639E-3</v>
      </c>
      <c r="BJ77" s="259">
        <f t="shared" si="34"/>
        <v>0.99018689643689639</v>
      </c>
      <c r="BK77" s="14">
        <f t="shared" si="17"/>
        <v>198527</v>
      </c>
      <c r="BL77" s="14"/>
      <c r="BM77" s="14"/>
    </row>
    <row r="78" spans="1:94" x14ac:dyDescent="0.2">
      <c r="A78" s="135">
        <v>40941</v>
      </c>
      <c r="B78" s="5">
        <v>248091</v>
      </c>
      <c r="C78" s="130">
        <v>4035</v>
      </c>
      <c r="D78" s="14">
        <v>14.63</v>
      </c>
      <c r="E78" s="14"/>
      <c r="F78" s="14"/>
      <c r="G78" s="165">
        <v>1759</v>
      </c>
      <c r="H78" s="208"/>
      <c r="I78" s="198"/>
      <c r="J78" s="216"/>
      <c r="K78" s="216"/>
      <c r="L78" s="216"/>
      <c r="M78" s="130">
        <v>56496</v>
      </c>
      <c r="N78" s="144">
        <v>6459</v>
      </c>
      <c r="O78" s="14">
        <v>0</v>
      </c>
      <c r="P78" s="213">
        <f t="shared" si="27"/>
        <v>4242</v>
      </c>
      <c r="Q78" s="180">
        <v>3230</v>
      </c>
      <c r="R78" s="180">
        <v>1012</v>
      </c>
      <c r="S78" s="180"/>
      <c r="T78" s="183">
        <v>0</v>
      </c>
      <c r="U78" s="183"/>
      <c r="V78" s="5">
        <v>188754</v>
      </c>
      <c r="W78" s="194"/>
      <c r="X78" s="194"/>
      <c r="Y78" s="194"/>
      <c r="Z78" s="194"/>
      <c r="AA78" s="194"/>
      <c r="AB78" s="194"/>
      <c r="AC78" s="187">
        <v>138</v>
      </c>
      <c r="AD78" s="188">
        <v>620</v>
      </c>
      <c r="AE78" s="213">
        <f t="shared" si="28"/>
        <v>758</v>
      </c>
      <c r="AF78" s="5">
        <v>78889</v>
      </c>
      <c r="AG78" s="14"/>
      <c r="AH78" s="14"/>
      <c r="AI78" s="14"/>
      <c r="AJ78" s="167"/>
      <c r="AK78" s="233"/>
      <c r="AL78" s="170"/>
      <c r="AM78" s="14"/>
      <c r="AN78" s="14"/>
      <c r="AO78" s="15">
        <v>64185</v>
      </c>
      <c r="AP78" s="125">
        <f t="shared" ref="AP78:AP109" si="35">AO78/B78</f>
        <v>0.25871555195472629</v>
      </c>
      <c r="AQ78" s="125">
        <v>1.649310345</v>
      </c>
      <c r="AR78" s="159">
        <v>36077</v>
      </c>
      <c r="AS78" s="159">
        <v>8590</v>
      </c>
      <c r="AT78" s="159"/>
      <c r="AU78" s="101">
        <f t="shared" si="26"/>
        <v>45583.333333333336</v>
      </c>
      <c r="AV78" s="125">
        <f t="shared" si="3"/>
        <v>0.2810017292042033</v>
      </c>
      <c r="AW78" s="125">
        <f t="shared" si="29"/>
        <v>0.26084783406088896</v>
      </c>
      <c r="AX78" s="125">
        <f t="shared" si="30"/>
        <v>2.0153895143314338E-2</v>
      </c>
      <c r="AY78" s="125">
        <f t="shared" ref="AY78:AY109" si="36">BC78/B78</f>
        <v>1.0439245033983608</v>
      </c>
      <c r="AZ78" s="125">
        <f t="shared" ref="AZ78:AZ109" si="37">(M78+N78+G78+AO78)/B78</f>
        <v>0.51956338601561525</v>
      </c>
      <c r="BA78" s="125">
        <f t="shared" ref="BA78:BA109" si="38">BD78/V78</f>
        <v>0.6314568168091802</v>
      </c>
      <c r="BB78" s="125">
        <f t="shared" ref="BB78:BB109" si="39">BE78/V78</f>
        <v>0.74063741151235329</v>
      </c>
      <c r="BC78" s="14">
        <f t="shared" si="31"/>
        <v>258988.27397260274</v>
      </c>
      <c r="BD78" s="14">
        <f t="shared" si="32"/>
        <v>119190</v>
      </c>
      <c r="BE78" s="14">
        <f t="shared" si="33"/>
        <v>139798.27397260274</v>
      </c>
      <c r="BF78" s="14">
        <v>29</v>
      </c>
      <c r="BG78" s="14"/>
      <c r="BH78" s="179">
        <f t="shared" si="13"/>
        <v>0</v>
      </c>
      <c r="BI78" s="179">
        <f t="shared" si="14"/>
        <v>9.8483043443729646E-3</v>
      </c>
      <c r="BJ78" s="259">
        <f t="shared" si="34"/>
        <v>0.990151695655627</v>
      </c>
      <c r="BK78" s="14">
        <f t="shared" si="17"/>
        <v>178566</v>
      </c>
      <c r="BL78" s="14"/>
      <c r="BM78" s="14"/>
    </row>
    <row r="79" spans="1:94" x14ac:dyDescent="0.2">
      <c r="A79" s="135">
        <v>40970</v>
      </c>
      <c r="B79" s="5">
        <v>254064</v>
      </c>
      <c r="C79" s="130">
        <v>4367</v>
      </c>
      <c r="D79" s="14">
        <v>14.86</v>
      </c>
      <c r="E79" s="14"/>
      <c r="F79" s="14"/>
      <c r="G79" s="165">
        <v>1368</v>
      </c>
      <c r="H79" s="208"/>
      <c r="I79" s="198"/>
      <c r="J79" s="216"/>
      <c r="K79" s="216"/>
      <c r="L79" s="216"/>
      <c r="M79" s="130">
        <v>63868</v>
      </c>
      <c r="N79" s="144">
        <v>12024</v>
      </c>
      <c r="O79" s="14">
        <v>0</v>
      </c>
      <c r="P79" s="213">
        <f t="shared" si="27"/>
        <v>4314</v>
      </c>
      <c r="Q79" s="180">
        <v>3230</v>
      </c>
      <c r="R79" s="180">
        <v>1084</v>
      </c>
      <c r="S79" s="180"/>
      <c r="T79" s="183">
        <v>0</v>
      </c>
      <c r="U79" s="183"/>
      <c r="V79" s="5">
        <v>167864</v>
      </c>
      <c r="W79" s="194"/>
      <c r="X79" s="194"/>
      <c r="Y79" s="194"/>
      <c r="Z79" s="194"/>
      <c r="AA79" s="194"/>
      <c r="AB79" s="194"/>
      <c r="AC79" s="187">
        <v>138</v>
      </c>
      <c r="AD79" s="188">
        <v>1032</v>
      </c>
      <c r="AE79" s="213">
        <f t="shared" si="28"/>
        <v>1170</v>
      </c>
      <c r="AF79" s="5">
        <v>81425</v>
      </c>
      <c r="AG79" s="14"/>
      <c r="AH79" s="14"/>
      <c r="AI79" s="14"/>
      <c r="AJ79" s="167"/>
      <c r="AK79" s="233"/>
      <c r="AL79" s="170"/>
      <c r="AM79" s="14"/>
      <c r="AN79" s="14"/>
      <c r="AO79" s="15">
        <v>72916</v>
      </c>
      <c r="AP79" s="125">
        <f t="shared" si="35"/>
        <v>0.28699855154606713</v>
      </c>
      <c r="AQ79" s="125">
        <v>1.66</v>
      </c>
      <c r="AR79" s="159">
        <v>35160</v>
      </c>
      <c r="AS79" s="159">
        <v>16179</v>
      </c>
      <c r="AT79" s="159"/>
      <c r="AU79" s="101">
        <f t="shared" si="26"/>
        <v>45583.333333333336</v>
      </c>
      <c r="AV79" s="125">
        <f t="shared" si="3"/>
        <v>0.32568171799231688</v>
      </c>
      <c r="AW79" s="125">
        <f t="shared" si="29"/>
        <v>0.30409660557969648</v>
      </c>
      <c r="AX79" s="125">
        <f t="shared" si="30"/>
        <v>2.15851124126204E-2</v>
      </c>
      <c r="AY79" s="125">
        <f t="shared" si="36"/>
        <v>1.0896842301411271</v>
      </c>
      <c r="AZ79" s="125">
        <f t="shared" si="37"/>
        <v>0.59109515712576355</v>
      </c>
      <c r="BA79" s="125">
        <f t="shared" si="38"/>
        <v>0.75900729161702329</v>
      </c>
      <c r="BB79" s="125">
        <f t="shared" si="39"/>
        <v>0.89024170904169653</v>
      </c>
      <c r="BC79" s="14">
        <f t="shared" si="31"/>
        <v>276849.53424657532</v>
      </c>
      <c r="BD79" s="14">
        <f t="shared" si="32"/>
        <v>127410</v>
      </c>
      <c r="BE79" s="14">
        <f t="shared" si="33"/>
        <v>149439.53424657535</v>
      </c>
      <c r="BF79" s="14">
        <v>31</v>
      </c>
      <c r="BG79" s="14"/>
      <c r="BH79" s="179">
        <f t="shared" ref="BH79:BH110" si="40">O79/(M79+N79)</f>
        <v>0</v>
      </c>
      <c r="BI79" s="179">
        <f t="shared" ref="BI79:BI110" si="41">AD79/(M79+N79)</f>
        <v>1.3598271227533864E-2</v>
      </c>
      <c r="BJ79" s="259">
        <f t="shared" si="34"/>
        <v>0.98640172877246612</v>
      </c>
      <c r="BK79" s="14">
        <f t="shared" si="17"/>
        <v>206999</v>
      </c>
      <c r="BL79" s="14"/>
      <c r="BM79" s="14"/>
    </row>
    <row r="80" spans="1:94" x14ac:dyDescent="0.2">
      <c r="A80" s="135">
        <v>41002</v>
      </c>
      <c r="B80" s="5">
        <v>259408</v>
      </c>
      <c r="C80" s="130">
        <v>3398</v>
      </c>
      <c r="D80" s="14">
        <v>15.6</v>
      </c>
      <c r="E80" s="14"/>
      <c r="F80" s="14"/>
      <c r="G80" s="165">
        <v>1321</v>
      </c>
      <c r="H80" s="208"/>
      <c r="I80" s="198"/>
      <c r="J80" s="216"/>
      <c r="K80" s="216"/>
      <c r="L80" s="216"/>
      <c r="M80" s="130">
        <v>63920</v>
      </c>
      <c r="N80" s="144">
        <v>9349</v>
      </c>
      <c r="O80" s="14">
        <v>0</v>
      </c>
      <c r="P80" s="213">
        <f t="shared" si="27"/>
        <v>4158</v>
      </c>
      <c r="Q80" s="180">
        <v>3230</v>
      </c>
      <c r="R80" s="180">
        <v>928</v>
      </c>
      <c r="S80" s="180"/>
      <c r="T80" s="183">
        <v>0</v>
      </c>
      <c r="U80" s="183"/>
      <c r="V80" s="5">
        <v>190616</v>
      </c>
      <c r="W80" s="194"/>
      <c r="X80" s="194"/>
      <c r="Y80" s="194"/>
      <c r="Z80" s="194"/>
      <c r="AA80" s="194"/>
      <c r="AB80" s="194"/>
      <c r="AC80" s="187">
        <v>138</v>
      </c>
      <c r="AD80" s="188">
        <v>1880</v>
      </c>
      <c r="AE80" s="213">
        <f t="shared" si="28"/>
        <v>2018</v>
      </c>
      <c r="AF80" s="5">
        <v>109479</v>
      </c>
      <c r="AK80" s="233"/>
      <c r="AO80" s="15">
        <v>68868</v>
      </c>
      <c r="AP80" s="125">
        <f t="shared" si="35"/>
        <v>0.265481403811756</v>
      </c>
      <c r="AQ80" s="125">
        <v>1.657</v>
      </c>
      <c r="AR80" s="159">
        <v>42443</v>
      </c>
      <c r="AS80" s="159">
        <v>18247</v>
      </c>
      <c r="AT80" s="159"/>
      <c r="AU80" s="101">
        <f t="shared" si="26"/>
        <v>45583.333333333336</v>
      </c>
      <c r="AV80" s="125">
        <f t="shared" si="3"/>
        <v>0.31134737556281994</v>
      </c>
      <c r="AW80" s="125">
        <f t="shared" si="29"/>
        <v>0.28753932029852586</v>
      </c>
      <c r="AX80" s="125">
        <f t="shared" si="30"/>
        <v>2.3808055264294081E-2</v>
      </c>
      <c r="AY80" s="125">
        <f t="shared" si="36"/>
        <v>1.0328089500307973</v>
      </c>
      <c r="AZ80" s="125">
        <f t="shared" si="37"/>
        <v>0.55302072411028191</v>
      </c>
      <c r="BA80" s="125">
        <f t="shared" si="38"/>
        <v>0.64685021194443282</v>
      </c>
      <c r="BB80" s="125">
        <f t="shared" si="39"/>
        <v>0.75869236637842064</v>
      </c>
      <c r="BC80" s="14">
        <f t="shared" si="31"/>
        <v>267918.90410958906</v>
      </c>
      <c r="BD80" s="14">
        <f t="shared" si="32"/>
        <v>123300</v>
      </c>
      <c r="BE80" s="14">
        <f t="shared" si="33"/>
        <v>144618.90410958903</v>
      </c>
      <c r="BF80" s="14">
        <v>30</v>
      </c>
      <c r="BG80" s="14"/>
      <c r="BH80" s="179">
        <f t="shared" si="40"/>
        <v>0</v>
      </c>
      <c r="BI80" s="179">
        <f t="shared" si="41"/>
        <v>2.5658873466268134E-2</v>
      </c>
      <c r="BJ80" s="259">
        <f t="shared" si="34"/>
        <v>0.97434112653373184</v>
      </c>
      <c r="BK80" s="14">
        <f t="shared" si="17"/>
        <v>210324</v>
      </c>
      <c r="BL80" s="14"/>
      <c r="BM80" s="14"/>
    </row>
    <row r="81" spans="1:65" x14ac:dyDescent="0.2">
      <c r="A81" s="135">
        <v>41034</v>
      </c>
      <c r="B81" s="5">
        <v>268416</v>
      </c>
      <c r="C81" s="130">
        <v>3625</v>
      </c>
      <c r="D81" s="14">
        <v>15.45</v>
      </c>
      <c r="E81" s="14"/>
      <c r="F81" s="14"/>
      <c r="G81" s="165">
        <v>977</v>
      </c>
      <c r="H81" s="208"/>
      <c r="I81" s="198"/>
      <c r="J81" s="216"/>
      <c r="K81" s="216"/>
      <c r="L81" s="216"/>
      <c r="M81" s="130">
        <v>68748</v>
      </c>
      <c r="N81" s="144">
        <v>16802</v>
      </c>
      <c r="O81" s="14">
        <v>0</v>
      </c>
      <c r="P81" s="213">
        <f t="shared" si="27"/>
        <v>4083</v>
      </c>
      <c r="Q81" s="180">
        <v>3230</v>
      </c>
      <c r="R81" s="180">
        <v>853</v>
      </c>
      <c r="S81" s="180"/>
      <c r="T81" s="183">
        <v>0</v>
      </c>
      <c r="U81" s="183"/>
      <c r="V81" s="5">
        <v>219137</v>
      </c>
      <c r="W81" s="194"/>
      <c r="X81" s="194"/>
      <c r="Y81" s="194"/>
      <c r="Z81" s="194"/>
      <c r="AA81" s="194"/>
      <c r="AB81" s="194"/>
      <c r="AC81" s="187">
        <v>138</v>
      </c>
      <c r="AD81" s="188">
        <v>6583</v>
      </c>
      <c r="AE81" s="213">
        <f t="shared" si="28"/>
        <v>6721</v>
      </c>
      <c r="AF81" s="5">
        <v>133382</v>
      </c>
      <c r="AK81" s="233"/>
      <c r="AO81" s="15">
        <v>74858</v>
      </c>
      <c r="AP81" s="125">
        <f t="shared" si="35"/>
        <v>0.27888799475441106</v>
      </c>
      <c r="AQ81" s="125">
        <v>1.64</v>
      </c>
      <c r="AR81" s="159">
        <v>42345</v>
      </c>
      <c r="AS81" s="159">
        <v>6992</v>
      </c>
      <c r="AT81" s="159"/>
      <c r="AU81" s="101">
        <f t="shared" si="26"/>
        <v>45583.333333333336</v>
      </c>
      <c r="AV81" s="125">
        <f t="shared" si="3"/>
        <v>0.36261251192179306</v>
      </c>
      <c r="AW81" s="125">
        <f t="shared" si="29"/>
        <v>0.32236155817835005</v>
      </c>
      <c r="AX81" s="125">
        <f t="shared" ref="AX81:AX94" si="42">AV81-AW81</f>
        <v>4.0250953743443008E-2</v>
      </c>
      <c r="AY81" s="125">
        <f t="shared" si="36"/>
        <v>1.0314196405824367</v>
      </c>
      <c r="AZ81" s="125">
        <f t="shared" si="37"/>
        <v>0.60124955293276106</v>
      </c>
      <c r="BA81" s="125">
        <f t="shared" si="38"/>
        <v>0.58141710436850003</v>
      </c>
      <c r="BB81" s="125">
        <f t="shared" si="39"/>
        <v>0.68194569719661835</v>
      </c>
      <c r="BC81" s="14">
        <f t="shared" ref="BC81:BC159" si="43">BD81+BE81</f>
        <v>276849.53424657532</v>
      </c>
      <c r="BD81" s="14">
        <f t="shared" ref="BD81:BD116" si="44">$BD$4*BF81</f>
        <v>127410</v>
      </c>
      <c r="BE81" s="14">
        <f t="shared" ref="BE81:BE105" si="45">$BE$4*BF81</f>
        <v>149439.53424657535</v>
      </c>
      <c r="BF81" s="14">
        <v>31</v>
      </c>
      <c r="BG81" s="14"/>
      <c r="BH81" s="179">
        <f t="shared" si="40"/>
        <v>0</v>
      </c>
      <c r="BI81" s="179">
        <f t="shared" si="41"/>
        <v>7.6949152542372876E-2</v>
      </c>
      <c r="BJ81" s="259">
        <f t="shared" ref="BJ81:BJ186" si="46">1-BI81-BH81</f>
        <v>0.92305084745762711</v>
      </c>
      <c r="BK81" s="14">
        <f t="shared" ref="BK81:BK112" si="47">SUM(G81,M81,N81:O81,P81,AE81,AO81,AR81,AS81)</f>
        <v>221526</v>
      </c>
      <c r="BL81" s="14"/>
      <c r="BM81" s="14"/>
    </row>
    <row r="82" spans="1:65" x14ac:dyDescent="0.2">
      <c r="A82" s="135">
        <v>41065</v>
      </c>
      <c r="B82" s="5">
        <v>248674</v>
      </c>
      <c r="C82" s="130">
        <v>2794.4</v>
      </c>
      <c r="D82" s="14">
        <v>15.49</v>
      </c>
      <c r="E82" s="14"/>
      <c r="F82" s="14"/>
      <c r="G82" s="165">
        <v>939</v>
      </c>
      <c r="H82" s="208"/>
      <c r="I82" s="198"/>
      <c r="J82" s="216"/>
      <c r="K82" s="216"/>
      <c r="L82" s="216"/>
      <c r="M82" s="130">
        <v>68322</v>
      </c>
      <c r="N82" s="144">
        <v>24861</v>
      </c>
      <c r="O82" s="14">
        <v>0</v>
      </c>
      <c r="P82" s="213">
        <f t="shared" si="27"/>
        <v>4120</v>
      </c>
      <c r="Q82" s="180">
        <v>3230</v>
      </c>
      <c r="R82" s="180">
        <v>890</v>
      </c>
      <c r="S82" s="180"/>
      <c r="T82" s="183">
        <v>0</v>
      </c>
      <c r="U82" s="183"/>
      <c r="V82" s="5">
        <v>165846</v>
      </c>
      <c r="W82" s="194"/>
      <c r="X82" s="194"/>
      <c r="Y82" s="194"/>
      <c r="Z82" s="194"/>
      <c r="AA82" s="194"/>
      <c r="AB82" s="194"/>
      <c r="AC82" s="187">
        <v>138</v>
      </c>
      <c r="AD82" s="188">
        <v>6583</v>
      </c>
      <c r="AE82" s="213">
        <f t="shared" si="28"/>
        <v>6721</v>
      </c>
      <c r="AF82" s="5">
        <v>61480</v>
      </c>
      <c r="AK82" s="233"/>
      <c r="AO82" s="15">
        <v>41296</v>
      </c>
      <c r="AP82" s="125">
        <f t="shared" si="35"/>
        <v>0.16606480774025431</v>
      </c>
      <c r="AQ82" s="125">
        <v>1.653103448</v>
      </c>
      <c r="AR82" s="159">
        <v>42345</v>
      </c>
      <c r="AS82" s="159">
        <v>13555</v>
      </c>
      <c r="AT82" s="159"/>
      <c r="AU82" s="101">
        <f t="shared" si="26"/>
        <v>45583.333333333336</v>
      </c>
      <c r="AV82" s="125">
        <f t="shared" si="3"/>
        <v>0.42209076944111568</v>
      </c>
      <c r="AW82" s="125">
        <f t="shared" si="29"/>
        <v>0.37849554034599514</v>
      </c>
      <c r="AX82" s="125">
        <f t="shared" si="42"/>
        <v>4.3595229095120536E-2</v>
      </c>
      <c r="AY82" s="125">
        <f t="shared" si="36"/>
        <v>1.0773900934942497</v>
      </c>
      <c r="AZ82" s="125">
        <f t="shared" si="37"/>
        <v>0.54456034808624942</v>
      </c>
      <c r="BA82" s="125">
        <f t="shared" si="38"/>
        <v>0.74346080098404543</v>
      </c>
      <c r="BB82" s="125">
        <f t="shared" si="39"/>
        <v>0.87200718805149979</v>
      </c>
      <c r="BC82" s="14">
        <f t="shared" si="43"/>
        <v>267918.90410958906</v>
      </c>
      <c r="BD82" s="14">
        <f t="shared" si="44"/>
        <v>123300</v>
      </c>
      <c r="BE82" s="14">
        <f t="shared" si="45"/>
        <v>144618.90410958903</v>
      </c>
      <c r="BF82" s="14">
        <v>30</v>
      </c>
      <c r="BG82" s="14"/>
      <c r="BH82" s="179">
        <f t="shared" si="40"/>
        <v>0</v>
      </c>
      <c r="BI82" s="179">
        <f t="shared" si="41"/>
        <v>7.0645933271090214E-2</v>
      </c>
      <c r="BJ82" s="259">
        <f t="shared" si="46"/>
        <v>0.92935406672890974</v>
      </c>
      <c r="BK82" s="14">
        <f t="shared" si="47"/>
        <v>202159</v>
      </c>
      <c r="BL82" s="14"/>
      <c r="BM82" s="14"/>
    </row>
    <row r="83" spans="1:65" x14ac:dyDescent="0.2">
      <c r="A83" s="135">
        <v>41096</v>
      </c>
      <c r="B83" s="5">
        <v>273332</v>
      </c>
      <c r="C83" s="130">
        <v>4429.25</v>
      </c>
      <c r="D83" s="14">
        <v>14.95</v>
      </c>
      <c r="E83" s="14"/>
      <c r="F83" s="14"/>
      <c r="G83" s="165">
        <v>896</v>
      </c>
      <c r="H83" s="208"/>
      <c r="I83" s="198"/>
      <c r="J83" s="216"/>
      <c r="K83" s="216"/>
      <c r="L83" s="216"/>
      <c r="M83" s="130">
        <v>69931</v>
      </c>
      <c r="N83" s="144">
        <v>14988</v>
      </c>
      <c r="O83" s="14">
        <v>0</v>
      </c>
      <c r="P83" s="213">
        <f t="shared" si="27"/>
        <v>5922</v>
      </c>
      <c r="Q83" s="180">
        <v>3230</v>
      </c>
      <c r="R83" s="180">
        <v>1074</v>
      </c>
      <c r="S83" s="180"/>
      <c r="T83" s="159">
        <v>1618</v>
      </c>
      <c r="U83" s="159"/>
      <c r="V83" s="5">
        <v>190168</v>
      </c>
      <c r="W83" s="194"/>
      <c r="X83" s="194"/>
      <c r="Y83" s="194"/>
      <c r="Z83" s="194"/>
      <c r="AA83" s="194"/>
      <c r="AB83" s="194"/>
      <c r="AC83" s="187">
        <v>1415</v>
      </c>
      <c r="AD83" s="188">
        <v>6583</v>
      </c>
      <c r="AE83" s="213">
        <f t="shared" si="28"/>
        <v>7998</v>
      </c>
      <c r="AF83" s="5">
        <v>93597</v>
      </c>
      <c r="AK83" s="233"/>
      <c r="AO83" s="15">
        <v>67752</v>
      </c>
      <c r="AP83" s="125">
        <f t="shared" si="35"/>
        <v>0.24787437987502378</v>
      </c>
      <c r="AQ83" s="125">
        <v>1.653114754</v>
      </c>
      <c r="AR83" s="159">
        <v>38801</v>
      </c>
      <c r="AS83" s="159">
        <v>13284</v>
      </c>
      <c r="AT83" s="159"/>
      <c r="AU83" s="101">
        <f t="shared" si="26"/>
        <v>45583.333333333336</v>
      </c>
      <c r="AV83" s="125">
        <f t="shared" si="3"/>
        <v>0.36488592627281108</v>
      </c>
      <c r="AW83" s="125">
        <f t="shared" si="29"/>
        <v>0.31395884857974915</v>
      </c>
      <c r="AX83" s="125">
        <f t="shared" si="42"/>
        <v>5.0927077693061928E-2</v>
      </c>
      <c r="AY83" s="125">
        <f t="shared" si="36"/>
        <v>1.0128690905074245</v>
      </c>
      <c r="AZ83" s="125">
        <f t="shared" si="37"/>
        <v>0.5618332284547729</v>
      </c>
      <c r="BA83" s="125">
        <f t="shared" si="38"/>
        <v>0.66998653821883813</v>
      </c>
      <c r="BB83" s="125">
        <f t="shared" si="39"/>
        <v>0.78582902615884564</v>
      </c>
      <c r="BC83" s="14">
        <f t="shared" si="43"/>
        <v>276849.53424657532</v>
      </c>
      <c r="BD83" s="14">
        <f t="shared" si="44"/>
        <v>127410</v>
      </c>
      <c r="BE83" s="14">
        <f t="shared" si="45"/>
        <v>149439.53424657535</v>
      </c>
      <c r="BF83" s="14">
        <v>31</v>
      </c>
      <c r="BG83" s="14"/>
      <c r="BH83" s="179">
        <f t="shared" si="40"/>
        <v>0</v>
      </c>
      <c r="BI83" s="179">
        <f t="shared" si="41"/>
        <v>7.7520931711395569E-2</v>
      </c>
      <c r="BJ83" s="259">
        <f t="shared" si="46"/>
        <v>0.92247906828860438</v>
      </c>
      <c r="BK83" s="14">
        <f t="shared" si="47"/>
        <v>219572</v>
      </c>
      <c r="BL83" s="14"/>
      <c r="BM83" s="14"/>
    </row>
    <row r="84" spans="1:65" x14ac:dyDescent="0.2">
      <c r="A84" s="135">
        <v>41128</v>
      </c>
      <c r="B84" s="5">
        <v>277680</v>
      </c>
      <c r="C84" s="130">
        <v>3961</v>
      </c>
      <c r="D84" s="14">
        <v>14.97</v>
      </c>
      <c r="E84" s="14"/>
      <c r="F84" s="14"/>
      <c r="G84" s="165">
        <v>979</v>
      </c>
      <c r="H84" s="208"/>
      <c r="I84" s="198"/>
      <c r="J84" s="216"/>
      <c r="K84" s="216"/>
      <c r="L84" s="216"/>
      <c r="M84" s="130">
        <v>68590</v>
      </c>
      <c r="N84" s="144">
        <v>19259</v>
      </c>
      <c r="O84" s="14">
        <v>0</v>
      </c>
      <c r="P84" s="213">
        <f t="shared" si="27"/>
        <v>5671</v>
      </c>
      <c r="Q84" s="180">
        <v>3230</v>
      </c>
      <c r="R84" s="180">
        <v>823</v>
      </c>
      <c r="S84" s="180"/>
      <c r="T84" s="159">
        <v>1618</v>
      </c>
      <c r="U84" s="159"/>
      <c r="V84" s="5">
        <v>222021</v>
      </c>
      <c r="W84" s="194"/>
      <c r="X84" s="194"/>
      <c r="Y84" s="194"/>
      <c r="Z84" s="194"/>
      <c r="AA84" s="194"/>
      <c r="AB84" s="194"/>
      <c r="AC84" s="187">
        <v>154</v>
      </c>
      <c r="AD84" s="188">
        <v>1019</v>
      </c>
      <c r="AE84" s="213">
        <f t="shared" si="28"/>
        <v>1173</v>
      </c>
      <c r="AF84" s="5">
        <v>93645</v>
      </c>
      <c r="AK84" s="233"/>
      <c r="AO84" s="15">
        <v>67393</v>
      </c>
      <c r="AP84" s="125">
        <f t="shared" si="35"/>
        <v>0.24270023048112935</v>
      </c>
      <c r="AQ84" s="125">
        <v>1.63</v>
      </c>
      <c r="AR84" s="159">
        <v>34870</v>
      </c>
      <c r="AS84" s="159">
        <v>6789</v>
      </c>
      <c r="AT84" s="159"/>
      <c r="AU84" s="101">
        <f t="shared" si="26"/>
        <v>45583.333333333336</v>
      </c>
      <c r="AV84" s="125">
        <f t="shared" si="3"/>
        <v>0.34454047824834344</v>
      </c>
      <c r="AW84" s="125">
        <f t="shared" si="29"/>
        <v>0.31989340247767212</v>
      </c>
      <c r="AX84" s="125">
        <f t="shared" si="42"/>
        <v>2.4647075770671323E-2</v>
      </c>
      <c r="AY84" s="125">
        <f t="shared" si="36"/>
        <v>0.99700927055090505</v>
      </c>
      <c r="AZ84" s="125">
        <f t="shared" si="37"/>
        <v>0.56259363295880149</v>
      </c>
      <c r="BA84" s="125">
        <f t="shared" si="38"/>
        <v>0.57386463442647317</v>
      </c>
      <c r="BB84" s="125">
        <f t="shared" si="39"/>
        <v>0.6730873847364679</v>
      </c>
      <c r="BC84" s="14">
        <f t="shared" si="43"/>
        <v>276849.53424657532</v>
      </c>
      <c r="BD84" s="14">
        <f t="shared" si="44"/>
        <v>127410</v>
      </c>
      <c r="BE84" s="14">
        <f t="shared" si="45"/>
        <v>149439.53424657535</v>
      </c>
      <c r="BF84" s="14">
        <v>31</v>
      </c>
      <c r="BG84" s="14"/>
      <c r="BH84" s="179">
        <f t="shared" si="40"/>
        <v>0</v>
      </c>
      <c r="BI84" s="179">
        <f t="shared" si="41"/>
        <v>1.1599449054627828E-2</v>
      </c>
      <c r="BJ84" s="259">
        <f t="shared" si="46"/>
        <v>0.98840055094537216</v>
      </c>
      <c r="BK84" s="14">
        <f t="shared" si="47"/>
        <v>204724</v>
      </c>
      <c r="BL84" s="14"/>
      <c r="BM84" s="14"/>
    </row>
    <row r="85" spans="1:65" x14ac:dyDescent="0.2">
      <c r="A85" s="135">
        <v>41160</v>
      </c>
      <c r="B85" s="5">
        <v>235167</v>
      </c>
      <c r="C85" s="130">
        <v>2843</v>
      </c>
      <c r="D85" s="14">
        <v>16.53</v>
      </c>
      <c r="E85" s="14"/>
      <c r="F85" s="14"/>
      <c r="G85" s="165">
        <v>743</v>
      </c>
      <c r="H85" s="208"/>
      <c r="I85" s="198"/>
      <c r="J85" s="216"/>
      <c r="K85" s="216"/>
      <c r="L85" s="216"/>
      <c r="M85" s="130">
        <v>66419</v>
      </c>
      <c r="N85" s="144">
        <v>39009</v>
      </c>
      <c r="O85" s="14">
        <v>0</v>
      </c>
      <c r="P85" s="213">
        <f t="shared" si="27"/>
        <v>5721</v>
      </c>
      <c r="Q85" s="180">
        <v>3230</v>
      </c>
      <c r="R85" s="180">
        <v>873</v>
      </c>
      <c r="S85" s="180"/>
      <c r="T85" s="159">
        <v>1618</v>
      </c>
      <c r="U85" s="159"/>
      <c r="V85" s="5">
        <v>212680</v>
      </c>
      <c r="W85" s="194"/>
      <c r="X85" s="194"/>
      <c r="Y85" s="194"/>
      <c r="Z85" s="194"/>
      <c r="AA85" s="194"/>
      <c r="AB85" s="194"/>
      <c r="AC85" s="187">
        <v>190</v>
      </c>
      <c r="AD85" s="188">
        <v>1041</v>
      </c>
      <c r="AE85" s="213">
        <f t="shared" si="28"/>
        <v>1231</v>
      </c>
      <c r="AF85" s="5">
        <v>103982</v>
      </c>
      <c r="AK85" s="233"/>
      <c r="AO85" s="15">
        <v>71617</v>
      </c>
      <c r="AP85" s="125">
        <f t="shared" si="35"/>
        <v>0.30453677599323037</v>
      </c>
      <c r="AQ85" s="125">
        <v>1.52</v>
      </c>
      <c r="AR85" s="159">
        <v>31222</v>
      </c>
      <c r="AS85" s="159">
        <v>7053</v>
      </c>
      <c r="AT85" s="159"/>
      <c r="AU85" s="101">
        <f t="shared" si="26"/>
        <v>45583.333333333336</v>
      </c>
      <c r="AV85" s="125">
        <f t="shared" ref="AV85:AV148" si="48">(G85+M85+N85+P85+AE85)/B85</f>
        <v>0.48103262787721068</v>
      </c>
      <c r="AW85" s="125">
        <f t="shared" si="29"/>
        <v>0.45147065702245637</v>
      </c>
      <c r="AX85" s="125">
        <f t="shared" si="42"/>
        <v>2.9561970854754316E-2</v>
      </c>
      <c r="AY85" s="125">
        <f t="shared" si="36"/>
        <v>1.1392708335335699</v>
      </c>
      <c r="AZ85" s="125">
        <f t="shared" si="37"/>
        <v>0.75600743301568674</v>
      </c>
      <c r="BA85" s="125">
        <f t="shared" si="38"/>
        <v>0.57974421666353204</v>
      </c>
      <c r="BB85" s="125">
        <f t="shared" si="39"/>
        <v>0.67998356267438886</v>
      </c>
      <c r="BC85" s="14">
        <f t="shared" si="43"/>
        <v>267918.90410958906</v>
      </c>
      <c r="BD85" s="14">
        <f t="shared" si="44"/>
        <v>123300</v>
      </c>
      <c r="BE85" s="14">
        <f t="shared" si="45"/>
        <v>144618.90410958903</v>
      </c>
      <c r="BF85" s="14">
        <v>30</v>
      </c>
      <c r="BG85" s="14"/>
      <c r="BH85" s="179">
        <f t="shared" si="40"/>
        <v>0</v>
      </c>
      <c r="BI85" s="179">
        <f t="shared" si="41"/>
        <v>9.8740372576545127E-3</v>
      </c>
      <c r="BJ85" s="259">
        <f t="shared" si="46"/>
        <v>0.99012596274234543</v>
      </c>
      <c r="BK85" s="14">
        <f t="shared" si="47"/>
        <v>223015</v>
      </c>
      <c r="BL85" s="14"/>
      <c r="BM85" s="14"/>
    </row>
    <row r="86" spans="1:65" x14ac:dyDescent="0.2">
      <c r="A86" s="135">
        <v>41191</v>
      </c>
      <c r="B86" s="5">
        <v>271764</v>
      </c>
      <c r="C86" s="130">
        <v>4065</v>
      </c>
      <c r="D86" s="14">
        <v>17.059999999999999</v>
      </c>
      <c r="E86" s="14"/>
      <c r="F86" s="14"/>
      <c r="G86" s="165">
        <v>1492</v>
      </c>
      <c r="H86" s="208"/>
      <c r="I86" s="198"/>
      <c r="J86" s="216"/>
      <c r="K86" s="216"/>
      <c r="L86" s="216"/>
      <c r="M86" s="130">
        <v>43565</v>
      </c>
      <c r="N86" s="144">
        <v>47226</v>
      </c>
      <c r="O86" s="14">
        <v>0</v>
      </c>
      <c r="P86" s="213">
        <f t="shared" si="27"/>
        <v>5769</v>
      </c>
      <c r="Q86" s="180">
        <v>3230</v>
      </c>
      <c r="R86" s="180">
        <v>921</v>
      </c>
      <c r="S86" s="180"/>
      <c r="T86" s="159">
        <v>1618</v>
      </c>
      <c r="U86" s="159"/>
      <c r="V86" s="5">
        <v>205426</v>
      </c>
      <c r="W86" s="194"/>
      <c r="X86" s="194"/>
      <c r="Y86" s="194"/>
      <c r="Z86" s="194"/>
      <c r="AA86" s="194"/>
      <c r="AB86" s="194"/>
      <c r="AC86" s="187">
        <v>202</v>
      </c>
      <c r="AD86" s="188">
        <v>146</v>
      </c>
      <c r="AE86" s="213">
        <f t="shared" si="28"/>
        <v>348</v>
      </c>
      <c r="AF86" s="5">
        <v>93342</v>
      </c>
      <c r="AK86" s="233"/>
      <c r="AO86" s="15">
        <v>67492</v>
      </c>
      <c r="AP86" s="125">
        <f t="shared" si="35"/>
        <v>0.24834783120648798</v>
      </c>
      <c r="AQ86" s="125">
        <v>1.67</v>
      </c>
      <c r="AR86" s="159">
        <v>30477</v>
      </c>
      <c r="AS86" s="159">
        <v>9630</v>
      </c>
      <c r="AT86" s="159"/>
      <c r="AU86" s="101">
        <f t="shared" si="26"/>
        <v>45583.333333333336</v>
      </c>
      <c r="AV86" s="125">
        <f t="shared" si="48"/>
        <v>0.3620788625425001</v>
      </c>
      <c r="AW86" s="125">
        <f t="shared" si="29"/>
        <v>0.33957036252042211</v>
      </c>
      <c r="AX86" s="125">
        <f t="shared" si="42"/>
        <v>2.2508500022077993E-2</v>
      </c>
      <c r="AY86" s="125">
        <f t="shared" si="36"/>
        <v>1.0187130534087492</v>
      </c>
      <c r="AZ86" s="125">
        <f t="shared" si="37"/>
        <v>0.58791819372691012</v>
      </c>
      <c r="BA86" s="125">
        <f t="shared" si="38"/>
        <v>0.62022334076504437</v>
      </c>
      <c r="BB86" s="125">
        <f t="shared" si="39"/>
        <v>0.72746163702051025</v>
      </c>
      <c r="BC86" s="14">
        <f t="shared" si="43"/>
        <v>276849.53424657532</v>
      </c>
      <c r="BD86" s="14">
        <f t="shared" si="44"/>
        <v>127410</v>
      </c>
      <c r="BE86" s="14">
        <f t="shared" si="45"/>
        <v>149439.53424657535</v>
      </c>
      <c r="BF86" s="14">
        <v>31</v>
      </c>
      <c r="BG86" s="14"/>
      <c r="BH86" s="179">
        <f t="shared" si="40"/>
        <v>0</v>
      </c>
      <c r="BI86" s="179">
        <f t="shared" si="41"/>
        <v>1.6080889074908307E-3</v>
      </c>
      <c r="BJ86" s="259">
        <f t="shared" si="46"/>
        <v>0.99839191109250913</v>
      </c>
      <c r="BK86" s="14">
        <f t="shared" si="47"/>
        <v>205999</v>
      </c>
      <c r="BL86" s="14"/>
      <c r="BM86" s="14"/>
    </row>
    <row r="87" spans="1:65" x14ac:dyDescent="0.2">
      <c r="A87" s="135">
        <v>41223</v>
      </c>
      <c r="B87" s="5">
        <v>264578</v>
      </c>
      <c r="C87" s="130">
        <v>3757</v>
      </c>
      <c r="D87" s="14">
        <v>15.85</v>
      </c>
      <c r="E87" s="14"/>
      <c r="F87" s="14"/>
      <c r="G87" s="165">
        <v>1098</v>
      </c>
      <c r="H87" s="208"/>
      <c r="I87" s="198"/>
      <c r="J87" s="216"/>
      <c r="K87" s="216"/>
      <c r="L87" s="216"/>
      <c r="M87" s="130">
        <v>66264</v>
      </c>
      <c r="N87" s="144">
        <v>45070</v>
      </c>
      <c r="O87" s="14">
        <v>0</v>
      </c>
      <c r="P87" s="213">
        <f t="shared" si="27"/>
        <v>6552</v>
      </c>
      <c r="Q87" s="180">
        <v>3230</v>
      </c>
      <c r="R87" s="180">
        <v>1704</v>
      </c>
      <c r="S87" s="180"/>
      <c r="T87" s="159">
        <v>1618</v>
      </c>
      <c r="U87" s="159"/>
      <c r="V87" s="5">
        <v>190820</v>
      </c>
      <c r="W87" s="194"/>
      <c r="X87" s="194"/>
      <c r="Y87" s="194"/>
      <c r="Z87" s="194"/>
      <c r="AA87" s="194"/>
      <c r="AB87" s="194"/>
      <c r="AC87" s="187">
        <v>491</v>
      </c>
      <c r="AD87" s="188">
        <v>1435</v>
      </c>
      <c r="AE87" s="213">
        <f t="shared" si="28"/>
        <v>1926</v>
      </c>
      <c r="AF87" s="5">
        <v>84526</v>
      </c>
      <c r="AK87" s="233"/>
      <c r="AO87" s="15">
        <v>77208</v>
      </c>
      <c r="AP87" s="125">
        <f t="shared" si="35"/>
        <v>0.29181564604766835</v>
      </c>
      <c r="AQ87" s="125">
        <v>1.63</v>
      </c>
      <c r="AR87" s="159">
        <v>30678</v>
      </c>
      <c r="AS87" s="159">
        <v>14454</v>
      </c>
      <c r="AT87" s="159"/>
      <c r="AU87" s="101">
        <f t="shared" si="26"/>
        <v>45583.333333333336</v>
      </c>
      <c r="AV87" s="125">
        <f t="shared" si="48"/>
        <v>0.45699188897036036</v>
      </c>
      <c r="AW87" s="125">
        <f t="shared" si="29"/>
        <v>0.42494840840886239</v>
      </c>
      <c r="AX87" s="125">
        <f t="shared" si="42"/>
        <v>3.2043480561497972E-2</v>
      </c>
      <c r="AY87" s="125">
        <f t="shared" si="36"/>
        <v>1.0126272936887764</v>
      </c>
      <c r="AZ87" s="125">
        <f t="shared" si="37"/>
        <v>0.7167640544565308</v>
      </c>
      <c r="BA87" s="125">
        <f t="shared" si="38"/>
        <v>0.64615868357614503</v>
      </c>
      <c r="BB87" s="125">
        <f t="shared" si="39"/>
        <v>0.75788127088140145</v>
      </c>
      <c r="BC87" s="14">
        <f t="shared" si="43"/>
        <v>267918.90410958906</v>
      </c>
      <c r="BD87" s="14">
        <f t="shared" si="44"/>
        <v>123300</v>
      </c>
      <c r="BE87" s="14">
        <f t="shared" si="45"/>
        <v>144618.90410958903</v>
      </c>
      <c r="BF87" s="14">
        <v>30</v>
      </c>
      <c r="BG87" s="14"/>
      <c r="BH87" s="179">
        <f t="shared" si="40"/>
        <v>0</v>
      </c>
      <c r="BI87" s="179">
        <f t="shared" si="41"/>
        <v>1.288914437638098E-2</v>
      </c>
      <c r="BJ87" s="259">
        <f t="shared" si="46"/>
        <v>0.987110855623619</v>
      </c>
      <c r="BK87" s="14">
        <f t="shared" si="47"/>
        <v>243250</v>
      </c>
      <c r="BL87" s="14"/>
      <c r="BM87" s="14"/>
    </row>
    <row r="88" spans="1:65" x14ac:dyDescent="0.2">
      <c r="A88" s="135">
        <v>41255</v>
      </c>
      <c r="B88" s="5">
        <v>267909</v>
      </c>
      <c r="C88" s="130">
        <v>3933</v>
      </c>
      <c r="D88" s="14">
        <v>15.65</v>
      </c>
      <c r="E88" s="14"/>
      <c r="F88" s="14"/>
      <c r="G88" s="165">
        <v>918</v>
      </c>
      <c r="H88" s="208"/>
      <c r="I88" s="198"/>
      <c r="J88" s="216"/>
      <c r="K88" s="216"/>
      <c r="L88" s="216"/>
      <c r="M88" s="130">
        <v>59704</v>
      </c>
      <c r="N88" s="144">
        <v>12073</v>
      </c>
      <c r="O88" s="14">
        <v>0</v>
      </c>
      <c r="P88" s="213">
        <f t="shared" si="27"/>
        <v>5727</v>
      </c>
      <c r="Q88" s="180">
        <v>3230</v>
      </c>
      <c r="R88" s="180">
        <v>879</v>
      </c>
      <c r="S88" s="180"/>
      <c r="T88" s="159">
        <v>1618</v>
      </c>
      <c r="U88" s="159"/>
      <c r="V88" s="5">
        <v>170814</v>
      </c>
      <c r="W88" s="194"/>
      <c r="X88" s="194"/>
      <c r="Y88" s="194"/>
      <c r="Z88" s="194"/>
      <c r="AA88" s="194"/>
      <c r="AB88" s="194"/>
      <c r="AC88" s="187">
        <v>288</v>
      </c>
      <c r="AD88" s="188">
        <v>794</v>
      </c>
      <c r="AE88" s="213">
        <f t="shared" si="28"/>
        <v>1082</v>
      </c>
      <c r="AF88" s="5">
        <v>78984</v>
      </c>
      <c r="AK88" s="233"/>
      <c r="AO88" s="15">
        <v>15640</v>
      </c>
      <c r="AP88" s="125">
        <f t="shared" si="35"/>
        <v>5.8378031346464659E-2</v>
      </c>
      <c r="AQ88" s="125">
        <v>1.65</v>
      </c>
      <c r="AR88" s="159">
        <v>24396</v>
      </c>
      <c r="AS88" s="159">
        <v>8967</v>
      </c>
      <c r="AT88" s="159"/>
      <c r="AU88" s="101">
        <f t="shared" ref="AU88:AU97" si="49">AU87</f>
        <v>45583.333333333336</v>
      </c>
      <c r="AV88" s="125">
        <f t="shared" si="48"/>
        <v>0.29675748108499528</v>
      </c>
      <c r="AW88" s="125">
        <f t="shared" si="29"/>
        <v>0.2713421348293637</v>
      </c>
      <c r="AX88" s="125">
        <f t="shared" si="42"/>
        <v>2.5415346255631577E-2</v>
      </c>
      <c r="AY88" s="125">
        <f t="shared" si="36"/>
        <v>1.0333715337916058</v>
      </c>
      <c r="AZ88" s="125">
        <f t="shared" si="37"/>
        <v>0.32972016617582833</v>
      </c>
      <c r="BA88" s="125">
        <f t="shared" si="38"/>
        <v>0.74589904808739327</v>
      </c>
      <c r="BB88" s="125">
        <f t="shared" si="39"/>
        <v>0.87486701468600558</v>
      </c>
      <c r="BC88" s="14">
        <f t="shared" si="43"/>
        <v>276849.53424657532</v>
      </c>
      <c r="BD88" s="14">
        <f t="shared" si="44"/>
        <v>127410</v>
      </c>
      <c r="BE88" s="14">
        <f t="shared" si="45"/>
        <v>149439.53424657535</v>
      </c>
      <c r="BF88" s="14">
        <v>31</v>
      </c>
      <c r="BG88" s="14"/>
      <c r="BH88" s="179">
        <f t="shared" si="40"/>
        <v>0</v>
      </c>
      <c r="BI88" s="179">
        <f t="shared" si="41"/>
        <v>1.1062039371943659E-2</v>
      </c>
      <c r="BJ88" s="259">
        <f t="shared" si="46"/>
        <v>0.98893796062805639</v>
      </c>
      <c r="BK88" s="14">
        <f t="shared" si="47"/>
        <v>128507</v>
      </c>
      <c r="BL88" s="14"/>
      <c r="BM88" s="14"/>
    </row>
    <row r="89" spans="1:65" x14ac:dyDescent="0.2">
      <c r="A89" s="135">
        <v>41275</v>
      </c>
      <c r="B89" s="5">
        <v>266006</v>
      </c>
      <c r="C89" s="130">
        <v>4005</v>
      </c>
      <c r="D89" s="14">
        <v>14.55</v>
      </c>
      <c r="E89" s="14"/>
      <c r="F89" s="14"/>
      <c r="G89" s="165">
        <v>1177</v>
      </c>
      <c r="H89" s="208"/>
      <c r="I89" s="198"/>
      <c r="J89" s="216"/>
      <c r="K89" s="216"/>
      <c r="L89" s="216"/>
      <c r="M89" s="130">
        <v>52440</v>
      </c>
      <c r="N89" s="144">
        <v>3159</v>
      </c>
      <c r="O89" s="14">
        <v>0</v>
      </c>
      <c r="P89" s="213">
        <f t="shared" si="27"/>
        <v>5732</v>
      </c>
      <c r="Q89" s="180">
        <v>3230</v>
      </c>
      <c r="R89" s="180">
        <v>884</v>
      </c>
      <c r="S89" s="180"/>
      <c r="T89" s="159">
        <v>1618</v>
      </c>
      <c r="U89" s="159"/>
      <c r="V89" s="5">
        <v>150549</v>
      </c>
      <c r="W89" s="194"/>
      <c r="X89" s="194"/>
      <c r="Y89" s="194"/>
      <c r="Z89" s="194"/>
      <c r="AA89" s="194"/>
      <c r="AB89" s="194"/>
      <c r="AC89" s="187">
        <v>281</v>
      </c>
      <c r="AD89" s="188">
        <v>955</v>
      </c>
      <c r="AE89" s="213">
        <f t="shared" si="28"/>
        <v>1236</v>
      </c>
      <c r="AF89" s="5">
        <v>60086</v>
      </c>
      <c r="AK89" s="233"/>
      <c r="AO89" s="15">
        <v>63121</v>
      </c>
      <c r="AP89" s="125">
        <f t="shared" si="35"/>
        <v>0.23729164003819464</v>
      </c>
      <c r="AQ89" s="125">
        <v>1.62</v>
      </c>
      <c r="AR89" s="159">
        <v>29606</v>
      </c>
      <c r="AS89" s="159">
        <v>11158</v>
      </c>
      <c r="AT89" s="159"/>
      <c r="AU89" s="101">
        <f t="shared" si="49"/>
        <v>45583.333333333336</v>
      </c>
      <c r="AV89" s="125">
        <f t="shared" si="48"/>
        <v>0.23963369247310212</v>
      </c>
      <c r="AW89" s="125">
        <f t="shared" si="29"/>
        <v>0.21343879461365534</v>
      </c>
      <c r="AX89" s="125">
        <f t="shared" si="42"/>
        <v>2.6194897859446786E-2</v>
      </c>
      <c r="AY89" s="125">
        <f t="shared" si="36"/>
        <v>1.040764246846219</v>
      </c>
      <c r="AZ89" s="125">
        <f t="shared" si="37"/>
        <v>0.45073043465184998</v>
      </c>
      <c r="BA89" s="125">
        <f t="shared" si="38"/>
        <v>0.84630253273020739</v>
      </c>
      <c r="BB89" s="125">
        <f t="shared" si="39"/>
        <v>0.99263053388979905</v>
      </c>
      <c r="BC89" s="14">
        <f t="shared" si="43"/>
        <v>276849.53424657532</v>
      </c>
      <c r="BD89" s="14">
        <f t="shared" si="44"/>
        <v>127410</v>
      </c>
      <c r="BE89" s="14">
        <f t="shared" si="45"/>
        <v>149439.53424657535</v>
      </c>
      <c r="BF89" s="14">
        <v>31</v>
      </c>
      <c r="BG89" s="14"/>
      <c r="BH89" s="179">
        <f t="shared" si="40"/>
        <v>0</v>
      </c>
      <c r="BI89" s="179">
        <f t="shared" si="41"/>
        <v>1.7176567923883522E-2</v>
      </c>
      <c r="BJ89" s="259">
        <f t="shared" si="46"/>
        <v>0.98282343207611644</v>
      </c>
      <c r="BK89" s="14">
        <f t="shared" si="47"/>
        <v>167629</v>
      </c>
      <c r="BL89" s="14"/>
      <c r="BM89" s="14"/>
    </row>
    <row r="90" spans="1:65" x14ac:dyDescent="0.2">
      <c r="A90" s="135">
        <v>41307</v>
      </c>
      <c r="B90" s="5">
        <v>238486</v>
      </c>
      <c r="C90" s="130">
        <v>3424</v>
      </c>
      <c r="D90" s="14">
        <v>14.39</v>
      </c>
      <c r="E90" s="14"/>
      <c r="F90" s="14"/>
      <c r="G90" s="165">
        <v>1205</v>
      </c>
      <c r="H90" s="208"/>
      <c r="I90" s="198"/>
      <c r="J90" s="216"/>
      <c r="K90" s="216"/>
      <c r="L90" s="216"/>
      <c r="M90" s="130">
        <v>66413</v>
      </c>
      <c r="N90" s="144">
        <v>10635</v>
      </c>
      <c r="O90" s="14">
        <v>0</v>
      </c>
      <c r="P90" s="213">
        <f t="shared" si="27"/>
        <v>6163</v>
      </c>
      <c r="Q90" s="180">
        <v>3230</v>
      </c>
      <c r="R90" s="180">
        <v>1315</v>
      </c>
      <c r="S90" s="180"/>
      <c r="T90" s="159">
        <v>1618</v>
      </c>
      <c r="U90" s="159"/>
      <c r="V90" s="5">
        <v>243214</v>
      </c>
      <c r="W90" s="194"/>
      <c r="X90" s="194"/>
      <c r="Y90" s="194"/>
      <c r="Z90" s="194"/>
      <c r="AA90" s="194"/>
      <c r="AB90" s="194"/>
      <c r="AC90" s="187">
        <v>193</v>
      </c>
      <c r="AD90" s="188">
        <v>1691</v>
      </c>
      <c r="AE90" s="213">
        <f t="shared" si="28"/>
        <v>1884</v>
      </c>
      <c r="AF90" s="5">
        <v>99226</v>
      </c>
      <c r="AK90" s="233"/>
      <c r="AO90" s="15">
        <v>45625</v>
      </c>
      <c r="AP90" s="125">
        <f t="shared" si="35"/>
        <v>0.19131102035339601</v>
      </c>
      <c r="AQ90" s="125">
        <v>1.59</v>
      </c>
      <c r="AR90" s="159">
        <v>29247</v>
      </c>
      <c r="AS90" s="159">
        <v>2216</v>
      </c>
      <c r="AT90" s="159"/>
      <c r="AU90" s="101">
        <f t="shared" si="49"/>
        <v>45583.333333333336</v>
      </c>
      <c r="AV90" s="125">
        <f t="shared" si="48"/>
        <v>0.36186610534790303</v>
      </c>
      <c r="AW90" s="125">
        <f t="shared" si="29"/>
        <v>0.32812408275538185</v>
      </c>
      <c r="AX90" s="125">
        <f t="shared" si="42"/>
        <v>3.3742022592521181E-2</v>
      </c>
      <c r="AY90" s="125">
        <f t="shared" si="36"/>
        <v>1.0485212709996246</v>
      </c>
      <c r="AZ90" s="125">
        <f t="shared" si="37"/>
        <v>0.51943510310877783</v>
      </c>
      <c r="BA90" s="125">
        <f t="shared" si="38"/>
        <v>0.47316355144029537</v>
      </c>
      <c r="BB90" s="125">
        <f t="shared" si="39"/>
        <v>0.55497481162933238</v>
      </c>
      <c r="BC90" s="14">
        <f t="shared" si="43"/>
        <v>250057.64383561644</v>
      </c>
      <c r="BD90" s="14">
        <f t="shared" si="44"/>
        <v>115080</v>
      </c>
      <c r="BE90" s="14">
        <f t="shared" si="45"/>
        <v>134977.64383561644</v>
      </c>
      <c r="BF90" s="14">
        <v>28</v>
      </c>
      <c r="BG90" s="14"/>
      <c r="BH90" s="179">
        <f t="shared" si="40"/>
        <v>0</v>
      </c>
      <c r="BI90" s="179">
        <f t="shared" si="41"/>
        <v>2.1947357491433912E-2</v>
      </c>
      <c r="BJ90" s="259">
        <f t="shared" si="46"/>
        <v>0.97805264250856605</v>
      </c>
      <c r="BK90" s="14">
        <f t="shared" si="47"/>
        <v>163388</v>
      </c>
      <c r="BL90" s="14"/>
      <c r="BM90" s="14"/>
    </row>
    <row r="91" spans="1:65" x14ac:dyDescent="0.2">
      <c r="A91" s="135">
        <v>41336</v>
      </c>
      <c r="B91" s="5">
        <v>266132</v>
      </c>
      <c r="C91" s="130">
        <v>3997</v>
      </c>
      <c r="D91" s="14">
        <v>14.5</v>
      </c>
      <c r="E91" s="14"/>
      <c r="F91" s="14"/>
      <c r="G91" s="165">
        <v>1169</v>
      </c>
      <c r="H91" s="208"/>
      <c r="I91" s="198"/>
      <c r="J91" s="216"/>
      <c r="K91" s="216"/>
      <c r="L91" s="216"/>
      <c r="M91" s="130">
        <v>68687</v>
      </c>
      <c r="N91" s="144">
        <v>22032</v>
      </c>
      <c r="O91" s="14">
        <v>0</v>
      </c>
      <c r="P91" s="213">
        <f t="shared" si="27"/>
        <v>5160</v>
      </c>
      <c r="Q91" s="180">
        <v>3230</v>
      </c>
      <c r="R91" s="180">
        <v>312</v>
      </c>
      <c r="S91" s="180"/>
      <c r="T91" s="159">
        <v>1618</v>
      </c>
      <c r="U91" s="159"/>
      <c r="V91" s="5">
        <v>220987</v>
      </c>
      <c r="W91" s="194"/>
      <c r="X91" s="194"/>
      <c r="Y91" s="194"/>
      <c r="Z91" s="194"/>
      <c r="AA91" s="194"/>
      <c r="AB91" s="194"/>
      <c r="AC91" s="187">
        <v>206</v>
      </c>
      <c r="AD91" s="188">
        <v>382</v>
      </c>
      <c r="AE91" s="213">
        <f t="shared" si="28"/>
        <v>588</v>
      </c>
      <c r="AF91" s="5">
        <v>109058</v>
      </c>
      <c r="AK91" s="233"/>
      <c r="AO91" s="15">
        <v>24064</v>
      </c>
      <c r="AP91" s="125">
        <f t="shared" si="35"/>
        <v>9.0421294695865212E-2</v>
      </c>
      <c r="AQ91" s="125">
        <v>1.63</v>
      </c>
      <c r="AR91" s="159">
        <v>32263</v>
      </c>
      <c r="AS91" s="159">
        <v>2216</v>
      </c>
      <c r="AT91" s="159"/>
      <c r="AU91" s="101">
        <f t="shared" si="49"/>
        <v>45583.333333333336</v>
      </c>
      <c r="AV91" s="125">
        <f t="shared" si="48"/>
        <v>0.3668705755038853</v>
      </c>
      <c r="AW91" s="125">
        <f t="shared" si="29"/>
        <v>0.34527227090316082</v>
      </c>
      <c r="AX91" s="125">
        <f t="shared" si="42"/>
        <v>2.1598304600724483E-2</v>
      </c>
      <c r="AY91" s="125">
        <f t="shared" si="36"/>
        <v>1.0402714977777017</v>
      </c>
      <c r="AZ91" s="125">
        <f t="shared" si="37"/>
        <v>0.43569356559902606</v>
      </c>
      <c r="BA91" s="125">
        <f t="shared" si="38"/>
        <v>0.5765497517953545</v>
      </c>
      <c r="BB91" s="125">
        <f t="shared" si="39"/>
        <v>0.67623676617436934</v>
      </c>
      <c r="BC91" s="14">
        <f t="shared" si="43"/>
        <v>276849.53424657532</v>
      </c>
      <c r="BD91" s="14">
        <f t="shared" si="44"/>
        <v>127410</v>
      </c>
      <c r="BE91" s="14">
        <f t="shared" si="45"/>
        <v>149439.53424657535</v>
      </c>
      <c r="BF91" s="14">
        <v>31</v>
      </c>
      <c r="BG91" s="14"/>
      <c r="BH91" s="179">
        <f t="shared" si="40"/>
        <v>0</v>
      </c>
      <c r="BI91" s="179">
        <f t="shared" si="41"/>
        <v>4.2108047928217903E-3</v>
      </c>
      <c r="BJ91" s="259">
        <f t="shared" si="46"/>
        <v>0.99578919520717823</v>
      </c>
      <c r="BK91" s="14">
        <f t="shared" si="47"/>
        <v>156179</v>
      </c>
      <c r="BL91" s="14"/>
      <c r="BM91" s="14"/>
    </row>
    <row r="92" spans="1:65" x14ac:dyDescent="0.2">
      <c r="A92" s="135">
        <v>41368</v>
      </c>
      <c r="B92" s="5">
        <v>264754</v>
      </c>
      <c r="C92" s="130">
        <v>3976</v>
      </c>
      <c r="D92" s="14">
        <v>13.79</v>
      </c>
      <c r="E92" s="14"/>
      <c r="F92" s="14"/>
      <c r="G92" s="165">
        <v>960</v>
      </c>
      <c r="H92" s="208"/>
      <c r="I92" s="198"/>
      <c r="J92" s="216"/>
      <c r="K92" s="216"/>
      <c r="L92" s="216"/>
      <c r="M92" s="130">
        <v>59863</v>
      </c>
      <c r="N92" s="144">
        <v>11960</v>
      </c>
      <c r="O92" s="14">
        <v>0</v>
      </c>
      <c r="P92" s="213">
        <f t="shared" si="27"/>
        <v>5513</v>
      </c>
      <c r="Q92" s="180">
        <v>3230</v>
      </c>
      <c r="R92" s="180">
        <v>665</v>
      </c>
      <c r="S92" s="180"/>
      <c r="T92" s="159">
        <v>1618</v>
      </c>
      <c r="U92" s="159"/>
      <c r="V92" s="5">
        <v>212153</v>
      </c>
      <c r="W92" s="194"/>
      <c r="X92" s="194"/>
      <c r="Y92" s="194"/>
      <c r="Z92" s="194"/>
      <c r="AA92" s="194"/>
      <c r="AB92" s="194"/>
      <c r="AC92" s="187">
        <v>226</v>
      </c>
      <c r="AD92" s="188">
        <v>2424</v>
      </c>
      <c r="AE92" s="213">
        <f t="shared" si="28"/>
        <v>2650</v>
      </c>
      <c r="AF92" s="5">
        <v>90775</v>
      </c>
      <c r="AK92" s="233"/>
      <c r="AO92" s="15">
        <v>53983</v>
      </c>
      <c r="AP92" s="125">
        <f t="shared" si="35"/>
        <v>0.20389871352274186</v>
      </c>
      <c r="AQ92" s="125">
        <v>1.62</v>
      </c>
      <c r="AR92" s="159">
        <v>31342</v>
      </c>
      <c r="AS92" s="159">
        <v>2216</v>
      </c>
      <c r="AT92" s="159"/>
      <c r="AU92" s="101">
        <f t="shared" si="49"/>
        <v>45583.333333333336</v>
      </c>
      <c r="AV92" s="125">
        <f t="shared" si="48"/>
        <v>0.30574042318529654</v>
      </c>
      <c r="AW92" s="125">
        <f t="shared" si="29"/>
        <v>0.27490802782960788</v>
      </c>
      <c r="AX92" s="125">
        <f t="shared" si="42"/>
        <v>3.0832395355688658E-2</v>
      </c>
      <c r="AY92" s="125">
        <f t="shared" si="36"/>
        <v>1.0119541314185585</v>
      </c>
      <c r="AZ92" s="125">
        <f t="shared" si="37"/>
        <v>0.47880674135234974</v>
      </c>
      <c r="BA92" s="125">
        <f t="shared" si="38"/>
        <v>0.58118433394766988</v>
      </c>
      <c r="BB92" s="125">
        <f t="shared" si="39"/>
        <v>0.68167268013928173</v>
      </c>
      <c r="BC92" s="14">
        <f t="shared" si="43"/>
        <v>267918.90410958906</v>
      </c>
      <c r="BD92" s="14">
        <f t="shared" si="44"/>
        <v>123300</v>
      </c>
      <c r="BE92" s="14">
        <f t="shared" si="45"/>
        <v>144618.90410958903</v>
      </c>
      <c r="BF92" s="14">
        <v>30</v>
      </c>
      <c r="BG92" s="14"/>
      <c r="BH92" s="179">
        <f t="shared" si="40"/>
        <v>0</v>
      </c>
      <c r="BI92" s="179">
        <f t="shared" si="41"/>
        <v>3.3749634518190554E-2</v>
      </c>
      <c r="BJ92" s="259">
        <f t="shared" si="46"/>
        <v>0.96625036548180943</v>
      </c>
      <c r="BK92" s="14">
        <f t="shared" si="47"/>
        <v>168487</v>
      </c>
      <c r="BL92" s="14"/>
      <c r="BM92" s="14"/>
    </row>
    <row r="93" spans="1:65" x14ac:dyDescent="0.2">
      <c r="A93" s="135">
        <v>41399</v>
      </c>
      <c r="B93" s="5">
        <v>283410</v>
      </c>
      <c r="C93" s="130">
        <v>4543</v>
      </c>
      <c r="D93" s="14">
        <v>13.85</v>
      </c>
      <c r="E93" s="14"/>
      <c r="F93" s="14"/>
      <c r="G93" s="165">
        <v>993</v>
      </c>
      <c r="H93" s="208"/>
      <c r="I93" s="198"/>
      <c r="J93" s="216"/>
      <c r="K93" s="216"/>
      <c r="L93" s="216"/>
      <c r="M93" s="130">
        <v>67562</v>
      </c>
      <c r="N93" s="144">
        <v>14636</v>
      </c>
      <c r="O93" s="14">
        <v>0</v>
      </c>
      <c r="P93" s="213">
        <f t="shared" si="27"/>
        <v>5887</v>
      </c>
      <c r="Q93" s="180">
        <v>3230</v>
      </c>
      <c r="R93" s="180">
        <v>1039</v>
      </c>
      <c r="S93" s="180"/>
      <c r="T93" s="159">
        <v>1618</v>
      </c>
      <c r="U93" s="159"/>
      <c r="V93" s="5">
        <v>230639</v>
      </c>
      <c r="W93" s="194"/>
      <c r="X93" s="194"/>
      <c r="Y93" s="194"/>
      <c r="Z93" s="194"/>
      <c r="AA93" s="194"/>
      <c r="AB93" s="194"/>
      <c r="AC93" s="187">
        <v>339</v>
      </c>
      <c r="AD93" s="188">
        <v>3255</v>
      </c>
      <c r="AE93" s="213">
        <f t="shared" si="28"/>
        <v>3594</v>
      </c>
      <c r="AF93" s="5">
        <v>119657</v>
      </c>
      <c r="AK93" s="233"/>
      <c r="AO93" s="15">
        <v>39544</v>
      </c>
      <c r="AP93" s="125">
        <f t="shared" si="35"/>
        <v>0.13952930383543277</v>
      </c>
      <c r="AQ93" s="125">
        <v>1.66</v>
      </c>
      <c r="AR93" s="159">
        <v>33183</v>
      </c>
      <c r="AS93" s="159">
        <v>2216</v>
      </c>
      <c r="AT93" s="159"/>
      <c r="AU93" s="101">
        <f t="shared" si="49"/>
        <v>45583.333333333336</v>
      </c>
      <c r="AV93" s="125">
        <f t="shared" si="48"/>
        <v>0.32698916763699232</v>
      </c>
      <c r="AW93" s="125">
        <f t="shared" si="29"/>
        <v>0.29353586676546345</v>
      </c>
      <c r="AX93" s="125">
        <f t="shared" si="42"/>
        <v>3.3453300871528868E-2</v>
      </c>
      <c r="AY93" s="125">
        <f t="shared" si="36"/>
        <v>0.9768516786513366</v>
      </c>
      <c r="AZ93" s="125">
        <f t="shared" si="37"/>
        <v>0.43306517060089622</v>
      </c>
      <c r="BA93" s="125">
        <f t="shared" si="38"/>
        <v>0.55242175000758764</v>
      </c>
      <c r="BB93" s="125">
        <f t="shared" si="39"/>
        <v>0.64793696749715068</v>
      </c>
      <c r="BC93" s="14">
        <f t="shared" si="43"/>
        <v>276849.53424657532</v>
      </c>
      <c r="BD93" s="14">
        <f t="shared" si="44"/>
        <v>127410</v>
      </c>
      <c r="BE93" s="14">
        <f t="shared" si="45"/>
        <v>149439.53424657535</v>
      </c>
      <c r="BF93" s="14">
        <v>31</v>
      </c>
      <c r="BG93" s="14"/>
      <c r="BH93" s="179">
        <f t="shared" si="40"/>
        <v>0</v>
      </c>
      <c r="BI93" s="179">
        <f t="shared" si="41"/>
        <v>3.9599503637558091E-2</v>
      </c>
      <c r="BJ93" s="259">
        <f t="shared" si="46"/>
        <v>0.96040049636244196</v>
      </c>
      <c r="BK93" s="14">
        <f t="shared" si="47"/>
        <v>167615</v>
      </c>
      <c r="BL93" s="14"/>
      <c r="BM93" s="14"/>
    </row>
    <row r="94" spans="1:65" x14ac:dyDescent="0.2">
      <c r="A94" s="135">
        <v>41431</v>
      </c>
      <c r="B94" s="5">
        <v>262437</v>
      </c>
      <c r="C94" s="130">
        <v>3493</v>
      </c>
      <c r="D94" s="14">
        <v>14.1</v>
      </c>
      <c r="E94" s="130"/>
      <c r="F94" s="14"/>
      <c r="G94" s="165">
        <v>970</v>
      </c>
      <c r="H94" s="208"/>
      <c r="I94" s="198"/>
      <c r="J94" s="216"/>
      <c r="K94" s="216"/>
      <c r="L94" s="216"/>
      <c r="M94" s="130">
        <v>65407</v>
      </c>
      <c r="N94" s="144">
        <v>30936</v>
      </c>
      <c r="O94" s="14">
        <v>0</v>
      </c>
      <c r="P94" s="213">
        <f t="shared" si="27"/>
        <v>5504</v>
      </c>
      <c r="Q94" s="180">
        <v>3230</v>
      </c>
      <c r="R94" s="180">
        <v>656</v>
      </c>
      <c r="S94" s="180"/>
      <c r="T94" s="159">
        <v>1618</v>
      </c>
      <c r="U94" s="159"/>
      <c r="V94" s="5">
        <v>210968</v>
      </c>
      <c r="W94" s="194"/>
      <c r="X94" s="194"/>
      <c r="Y94" s="194"/>
      <c r="Z94" s="194"/>
      <c r="AA94" s="194"/>
      <c r="AB94" s="194"/>
      <c r="AC94" s="187">
        <v>187</v>
      </c>
      <c r="AD94" s="188">
        <v>2384</v>
      </c>
      <c r="AE94" s="213">
        <f t="shared" si="28"/>
        <v>2571</v>
      </c>
      <c r="AF94" s="5">
        <v>103868</v>
      </c>
      <c r="AK94" s="233"/>
      <c r="AO94" s="15">
        <v>54380</v>
      </c>
      <c r="AP94" s="125">
        <f t="shared" si="35"/>
        <v>0.20721163555443783</v>
      </c>
      <c r="AQ94" s="125">
        <v>1.61</v>
      </c>
      <c r="AR94" s="159">
        <v>30766</v>
      </c>
      <c r="AS94" s="159">
        <v>2216</v>
      </c>
      <c r="AT94" s="159"/>
      <c r="AU94" s="101">
        <f t="shared" si="49"/>
        <v>45583.333333333336</v>
      </c>
      <c r="AV94" s="125">
        <f t="shared" si="48"/>
        <v>0.40157447311164202</v>
      </c>
      <c r="AW94" s="125">
        <f t="shared" si="29"/>
        <v>0.37080518372028337</v>
      </c>
      <c r="AX94" s="125">
        <f t="shared" si="42"/>
        <v>3.0769289391358645E-2</v>
      </c>
      <c r="AY94" s="125">
        <f t="shared" si="36"/>
        <v>1.0208884574567956</v>
      </c>
      <c r="AZ94" s="125">
        <f t="shared" si="37"/>
        <v>0.57801681927472115</v>
      </c>
      <c r="BA94" s="125">
        <f t="shared" si="38"/>
        <v>0.5844488263622919</v>
      </c>
      <c r="BB94" s="125">
        <f t="shared" si="39"/>
        <v>0.68550161213828176</v>
      </c>
      <c r="BC94" s="14">
        <f t="shared" si="43"/>
        <v>267918.90410958906</v>
      </c>
      <c r="BD94" s="14">
        <f t="shared" si="44"/>
        <v>123300</v>
      </c>
      <c r="BE94" s="14">
        <f t="shared" si="45"/>
        <v>144618.90410958903</v>
      </c>
      <c r="BF94" s="14">
        <v>30</v>
      </c>
      <c r="BG94" s="14"/>
      <c r="BH94" s="179">
        <f t="shared" si="40"/>
        <v>0</v>
      </c>
      <c r="BI94" s="179">
        <f t="shared" si="41"/>
        <v>2.4744921789854997E-2</v>
      </c>
      <c r="BJ94" s="259">
        <f t="shared" si="46"/>
        <v>0.97525507821014501</v>
      </c>
      <c r="BK94" s="14">
        <f t="shared" si="47"/>
        <v>192750</v>
      </c>
      <c r="BL94" s="14"/>
      <c r="BM94" s="14"/>
    </row>
    <row r="95" spans="1:65" x14ac:dyDescent="0.2">
      <c r="A95" s="135">
        <v>41462</v>
      </c>
      <c r="B95" s="5">
        <v>285425</v>
      </c>
      <c r="C95" s="130">
        <v>4375</v>
      </c>
      <c r="D95" s="14">
        <v>14.37</v>
      </c>
      <c r="E95" s="130"/>
      <c r="F95" s="14"/>
      <c r="G95" s="165">
        <v>1136</v>
      </c>
      <c r="H95" s="208"/>
      <c r="I95" s="198"/>
      <c r="J95" s="216"/>
      <c r="K95" s="216"/>
      <c r="L95" s="216"/>
      <c r="M95" s="130">
        <v>70087</v>
      </c>
      <c r="N95" s="144">
        <v>14496</v>
      </c>
      <c r="O95" s="14">
        <v>0</v>
      </c>
      <c r="P95" s="213">
        <f t="shared" si="27"/>
        <v>5683</v>
      </c>
      <c r="Q95" s="180">
        <v>3230</v>
      </c>
      <c r="R95" s="180">
        <v>835</v>
      </c>
      <c r="S95" s="180"/>
      <c r="T95" s="159">
        <v>1618</v>
      </c>
      <c r="U95" s="159"/>
      <c r="V95" s="5">
        <v>236754</v>
      </c>
      <c r="W95" s="194"/>
      <c r="X95" s="194"/>
      <c r="Y95" s="194"/>
      <c r="Z95" s="194"/>
      <c r="AA95" s="194"/>
      <c r="AB95" s="194"/>
      <c r="AC95" s="187">
        <v>287</v>
      </c>
      <c r="AD95" s="188">
        <v>579</v>
      </c>
      <c r="AE95" s="213">
        <f t="shared" si="28"/>
        <v>866</v>
      </c>
      <c r="AF95" s="5">
        <v>108899</v>
      </c>
      <c r="AK95" s="233"/>
      <c r="AO95" s="15">
        <v>79472</v>
      </c>
      <c r="AP95" s="125">
        <f t="shared" si="35"/>
        <v>0.27843391433826747</v>
      </c>
      <c r="AQ95" s="125">
        <v>1.67</v>
      </c>
      <c r="AR95" s="159">
        <v>30226</v>
      </c>
      <c r="AS95" s="159">
        <v>2216</v>
      </c>
      <c r="AT95" s="159"/>
      <c r="AU95" s="101">
        <f t="shared" si="49"/>
        <v>45583.333333333336</v>
      </c>
      <c r="AV95" s="125">
        <f t="shared" si="48"/>
        <v>0.32326530612244897</v>
      </c>
      <c r="AW95" s="125">
        <f t="shared" si="29"/>
        <v>0.30032057458176403</v>
      </c>
      <c r="AX95" s="125">
        <f t="shared" ref="AX95:AX107" si="50">AV95-AW95</f>
        <v>2.2944731540684937E-2</v>
      </c>
      <c r="AY95" s="125">
        <f t="shared" si="36"/>
        <v>0.96995544975589143</v>
      </c>
      <c r="AZ95" s="125">
        <f t="shared" si="37"/>
        <v>0.57875448892003156</v>
      </c>
      <c r="BA95" s="125">
        <f t="shared" si="38"/>
        <v>0.53815352644517089</v>
      </c>
      <c r="BB95" s="125">
        <f t="shared" si="39"/>
        <v>0.63120172941777264</v>
      </c>
      <c r="BC95" s="14">
        <f t="shared" si="43"/>
        <v>276849.53424657532</v>
      </c>
      <c r="BD95" s="14">
        <f t="shared" si="44"/>
        <v>127410</v>
      </c>
      <c r="BE95" s="14">
        <f t="shared" si="45"/>
        <v>149439.53424657535</v>
      </c>
      <c r="BF95" s="14">
        <v>31</v>
      </c>
      <c r="BG95" s="14"/>
      <c r="BH95" s="179">
        <f t="shared" si="40"/>
        <v>0</v>
      </c>
      <c r="BI95" s="179">
        <f t="shared" si="41"/>
        <v>6.8453471737819653E-3</v>
      </c>
      <c r="BJ95" s="259">
        <f t="shared" si="46"/>
        <v>0.99315465282621807</v>
      </c>
      <c r="BK95" s="14">
        <f t="shared" si="47"/>
        <v>204182</v>
      </c>
      <c r="BL95" s="14"/>
      <c r="BM95" s="14"/>
    </row>
    <row r="96" spans="1:65" x14ac:dyDescent="0.2">
      <c r="A96" s="135">
        <v>41494</v>
      </c>
      <c r="B96" s="5">
        <v>288186</v>
      </c>
      <c r="C96" s="130">
        <v>4673</v>
      </c>
      <c r="D96" s="14">
        <v>13.87</v>
      </c>
      <c r="E96" s="130"/>
      <c r="F96" s="14"/>
      <c r="G96" s="165">
        <v>1841</v>
      </c>
      <c r="H96" s="208"/>
      <c r="I96" s="198"/>
      <c r="J96" s="216"/>
      <c r="K96" s="216"/>
      <c r="L96" s="216"/>
      <c r="M96" s="130">
        <v>67709</v>
      </c>
      <c r="N96" s="144">
        <v>17410</v>
      </c>
      <c r="O96" s="14">
        <v>0</v>
      </c>
      <c r="P96" s="213">
        <f t="shared" si="27"/>
        <v>5630</v>
      </c>
      <c r="Q96" s="180">
        <v>3230</v>
      </c>
      <c r="R96" s="180">
        <v>782</v>
      </c>
      <c r="S96" s="180"/>
      <c r="T96" s="159">
        <v>1618</v>
      </c>
      <c r="U96" s="159"/>
      <c r="V96" s="5">
        <v>220536</v>
      </c>
      <c r="W96" s="194"/>
      <c r="X96" s="194"/>
      <c r="Y96" s="194"/>
      <c r="Z96" s="194"/>
      <c r="AA96" s="194"/>
      <c r="AB96" s="194"/>
      <c r="AC96" s="187">
        <v>312</v>
      </c>
      <c r="AD96" s="188">
        <v>596</v>
      </c>
      <c r="AE96" s="213">
        <f t="shared" si="28"/>
        <v>908</v>
      </c>
      <c r="AF96" s="5">
        <v>108149</v>
      </c>
      <c r="AK96" s="233"/>
      <c r="AO96" s="15">
        <v>75031</v>
      </c>
      <c r="AP96" s="125">
        <f t="shared" si="35"/>
        <v>0.26035615886961894</v>
      </c>
      <c r="AQ96" s="125">
        <v>1.65</v>
      </c>
      <c r="AR96" s="159">
        <v>26215</v>
      </c>
      <c r="AS96" s="159">
        <v>2216</v>
      </c>
      <c r="AT96" s="159"/>
      <c r="AU96" s="101">
        <f t="shared" si="49"/>
        <v>45583.333333333336</v>
      </c>
      <c r="AV96" s="125">
        <f t="shared" si="48"/>
        <v>0.32443630155524555</v>
      </c>
      <c r="AW96" s="125">
        <f t="shared" si="29"/>
        <v>0.30174956451736029</v>
      </c>
      <c r="AX96" s="125">
        <f t="shared" si="50"/>
        <v>2.2686737037885263E-2</v>
      </c>
      <c r="AY96" s="125">
        <f t="shared" si="36"/>
        <v>0.96066267704390673</v>
      </c>
      <c r="AZ96" s="125">
        <f t="shared" si="37"/>
        <v>0.56210572338697928</v>
      </c>
      <c r="BA96" s="125">
        <f t="shared" si="38"/>
        <v>0.57772880618130373</v>
      </c>
      <c r="BB96" s="125">
        <f t="shared" si="39"/>
        <v>0.67761968225856706</v>
      </c>
      <c r="BC96" s="14">
        <f t="shared" si="43"/>
        <v>276849.53424657532</v>
      </c>
      <c r="BD96" s="14">
        <f t="shared" si="44"/>
        <v>127410</v>
      </c>
      <c r="BE96" s="14">
        <f t="shared" si="45"/>
        <v>149439.53424657535</v>
      </c>
      <c r="BF96" s="14">
        <v>31</v>
      </c>
      <c r="BG96" s="14"/>
      <c r="BH96" s="179">
        <f t="shared" si="40"/>
        <v>0</v>
      </c>
      <c r="BI96" s="179">
        <f t="shared" si="41"/>
        <v>7.0019619591395578E-3</v>
      </c>
      <c r="BJ96" s="259">
        <f t="shared" si="46"/>
        <v>0.9929980380408604</v>
      </c>
      <c r="BK96" s="14">
        <f t="shared" si="47"/>
        <v>196960</v>
      </c>
      <c r="BL96" s="14">
        <f t="shared" ref="BL96:BL133" si="51">SUM(AO96,AR96,AS96)</f>
        <v>103462</v>
      </c>
      <c r="BM96" s="262">
        <f t="shared" ref="BM96:BM133" si="52">(BL96*100)/BK96</f>
        <v>52.529447603574333</v>
      </c>
    </row>
    <row r="97" spans="1:65" x14ac:dyDescent="0.2">
      <c r="A97" s="135">
        <v>41526</v>
      </c>
      <c r="B97" s="5">
        <v>269673</v>
      </c>
      <c r="C97" s="130">
        <v>4469</v>
      </c>
      <c r="D97" s="14">
        <v>14.84</v>
      </c>
      <c r="E97" s="130">
        <v>3223.1578947368421</v>
      </c>
      <c r="F97" s="186">
        <v>5.5E-2</v>
      </c>
      <c r="G97" s="165">
        <v>1082</v>
      </c>
      <c r="H97" s="208"/>
      <c r="I97" s="198"/>
      <c r="J97" s="216"/>
      <c r="K97" s="216"/>
      <c r="L97" s="216"/>
      <c r="M97" s="130">
        <v>80188</v>
      </c>
      <c r="N97" s="144">
        <v>3268</v>
      </c>
      <c r="O97" s="14">
        <v>0</v>
      </c>
      <c r="P97" s="213">
        <f t="shared" si="27"/>
        <v>5659</v>
      </c>
      <c r="Q97" s="180">
        <v>3230</v>
      </c>
      <c r="R97" s="180">
        <v>811</v>
      </c>
      <c r="S97" s="180"/>
      <c r="T97" s="159">
        <v>1618</v>
      </c>
      <c r="U97" s="159"/>
      <c r="V97" s="5">
        <v>200299</v>
      </c>
      <c r="W97" s="194"/>
      <c r="X97" s="194"/>
      <c r="Y97" s="194"/>
      <c r="Z97" s="194"/>
      <c r="AA97" s="194"/>
      <c r="AB97" s="194"/>
      <c r="AC97" s="187">
        <v>490</v>
      </c>
      <c r="AD97" s="188">
        <v>588</v>
      </c>
      <c r="AE97" s="213">
        <f t="shared" si="28"/>
        <v>1078</v>
      </c>
      <c r="AF97" s="5">
        <v>117098</v>
      </c>
      <c r="AK97" s="233"/>
      <c r="AO97" s="15">
        <v>55608</v>
      </c>
      <c r="AP97" s="125">
        <f t="shared" si="35"/>
        <v>0.20620529307717125</v>
      </c>
      <c r="AQ97" s="125">
        <v>1.62</v>
      </c>
      <c r="AR97" s="159">
        <v>27977</v>
      </c>
      <c r="AS97" s="159">
        <v>2216</v>
      </c>
      <c r="AT97" s="159"/>
      <c r="AU97" s="101">
        <f t="shared" si="49"/>
        <v>45583.333333333336</v>
      </c>
      <c r="AV97" s="125">
        <f t="shared" si="48"/>
        <v>0.33846547485287737</v>
      </c>
      <c r="AW97" s="125">
        <f t="shared" si="29"/>
        <v>0.31348336689249573</v>
      </c>
      <c r="AX97" s="125">
        <f t="shared" si="50"/>
        <v>2.4982107960381639E-2</v>
      </c>
      <c r="AY97" s="125">
        <f t="shared" si="36"/>
        <v>0.99349547084650325</v>
      </c>
      <c r="AZ97" s="125">
        <f t="shared" si="37"/>
        <v>0.51968865996966696</v>
      </c>
      <c r="BA97" s="125">
        <f t="shared" si="38"/>
        <v>0.61557970833603759</v>
      </c>
      <c r="BB97" s="125">
        <f t="shared" si="39"/>
        <v>0.72201510796154267</v>
      </c>
      <c r="BC97" s="14">
        <f t="shared" si="43"/>
        <v>267918.90410958906</v>
      </c>
      <c r="BD97" s="14">
        <f t="shared" si="44"/>
        <v>123300</v>
      </c>
      <c r="BE97" s="14">
        <f t="shared" si="45"/>
        <v>144618.90410958903</v>
      </c>
      <c r="BF97" s="14">
        <v>30</v>
      </c>
      <c r="BG97" s="14"/>
      <c r="BH97" s="179">
        <f t="shared" si="40"/>
        <v>0</v>
      </c>
      <c r="BI97" s="179">
        <f t="shared" si="41"/>
        <v>7.0456288343558283E-3</v>
      </c>
      <c r="BJ97" s="259">
        <f t="shared" si="46"/>
        <v>0.99295437116564422</v>
      </c>
      <c r="BK97" s="14">
        <f t="shared" si="47"/>
        <v>177076</v>
      </c>
      <c r="BL97" s="14">
        <f t="shared" si="51"/>
        <v>85801</v>
      </c>
      <c r="BM97" s="262">
        <f t="shared" si="52"/>
        <v>48.454335991325756</v>
      </c>
    </row>
    <row r="98" spans="1:65" x14ac:dyDescent="0.2">
      <c r="A98" s="135">
        <v>41557</v>
      </c>
      <c r="B98" s="5">
        <v>270770</v>
      </c>
      <c r="C98" s="130">
        <v>4369</v>
      </c>
      <c r="D98" s="14">
        <v>14.84</v>
      </c>
      <c r="E98" s="130">
        <v>6743.3107178947357</v>
      </c>
      <c r="F98" s="186">
        <v>5.5E-2</v>
      </c>
      <c r="G98" s="165">
        <v>1089</v>
      </c>
      <c r="H98" s="208"/>
      <c r="I98" s="198"/>
      <c r="J98" s="216"/>
      <c r="K98" s="216"/>
      <c r="L98" s="216"/>
      <c r="M98" s="130">
        <v>97482</v>
      </c>
      <c r="N98" s="144">
        <v>14312</v>
      </c>
      <c r="O98" s="14">
        <v>0</v>
      </c>
      <c r="P98" s="213">
        <f t="shared" si="27"/>
        <v>5593</v>
      </c>
      <c r="Q98" s="180">
        <v>3230</v>
      </c>
      <c r="R98" s="180">
        <v>745</v>
      </c>
      <c r="S98" s="180"/>
      <c r="T98" s="159">
        <v>1618</v>
      </c>
      <c r="U98" s="159"/>
      <c r="V98" s="5">
        <v>196675</v>
      </c>
      <c r="W98" s="194"/>
      <c r="X98" s="194"/>
      <c r="Y98" s="194"/>
      <c r="Z98" s="194"/>
      <c r="AA98" s="194"/>
      <c r="AB98" s="194"/>
      <c r="AC98" s="187">
        <v>470</v>
      </c>
      <c r="AD98" s="188">
        <v>966</v>
      </c>
      <c r="AE98" s="213">
        <f t="shared" si="28"/>
        <v>1436</v>
      </c>
      <c r="AF98" s="5">
        <v>109044</v>
      </c>
      <c r="AK98" s="233"/>
      <c r="AO98" s="15">
        <v>21733</v>
      </c>
      <c r="AP98" s="125">
        <f t="shared" si="35"/>
        <v>8.0263692432691949E-2</v>
      </c>
      <c r="AQ98" s="125">
        <v>1.51</v>
      </c>
      <c r="AR98" s="159">
        <v>26857</v>
      </c>
      <c r="AS98" s="159">
        <v>2216</v>
      </c>
      <c r="AT98" s="159"/>
      <c r="AU98" s="101">
        <v>45583</v>
      </c>
      <c r="AV98" s="125">
        <f t="shared" si="48"/>
        <v>0.44285556006943161</v>
      </c>
      <c r="AW98" s="125">
        <f t="shared" si="29"/>
        <v>0.41689625881744652</v>
      </c>
      <c r="AX98" s="125">
        <f t="shared" si="50"/>
        <v>2.595930125198509E-2</v>
      </c>
      <c r="AY98" s="125">
        <f t="shared" si="36"/>
        <v>1.0224527615562113</v>
      </c>
      <c r="AZ98" s="125">
        <f t="shared" si="37"/>
        <v>0.49715995125013851</v>
      </c>
      <c r="BA98" s="125">
        <f t="shared" si="38"/>
        <v>0.64782000762679548</v>
      </c>
      <c r="BB98" s="125">
        <f t="shared" si="39"/>
        <v>0.75982984236214746</v>
      </c>
      <c r="BC98" s="14">
        <f t="shared" si="43"/>
        <v>276849.53424657532</v>
      </c>
      <c r="BD98" s="14">
        <f t="shared" si="44"/>
        <v>127410</v>
      </c>
      <c r="BE98" s="14">
        <f t="shared" si="45"/>
        <v>149439.53424657535</v>
      </c>
      <c r="BF98" s="14">
        <v>31</v>
      </c>
      <c r="BG98" s="14"/>
      <c r="BH98" s="179">
        <f t="shared" si="40"/>
        <v>0</v>
      </c>
      <c r="BI98" s="179">
        <f t="shared" si="41"/>
        <v>8.6408930711844995E-3</v>
      </c>
      <c r="BJ98" s="259">
        <f t="shared" si="46"/>
        <v>0.99135910692881546</v>
      </c>
      <c r="BK98" s="14">
        <f t="shared" si="47"/>
        <v>170718</v>
      </c>
      <c r="BL98" s="14">
        <f t="shared" si="51"/>
        <v>50806</v>
      </c>
      <c r="BM98" s="262">
        <f t="shared" si="52"/>
        <v>29.760189318056678</v>
      </c>
    </row>
    <row r="99" spans="1:65" x14ac:dyDescent="0.2">
      <c r="A99" s="135">
        <v>41589</v>
      </c>
      <c r="B99" s="5">
        <v>261298</v>
      </c>
      <c r="C99" s="130">
        <v>4778</v>
      </c>
      <c r="D99" s="14">
        <v>13.64</v>
      </c>
      <c r="E99" s="130">
        <v>16644.627170526317</v>
      </c>
      <c r="F99" s="186">
        <v>5.5E-2</v>
      </c>
      <c r="G99" s="165">
        <v>1191</v>
      </c>
      <c r="H99" s="208"/>
      <c r="I99" s="198"/>
      <c r="J99" s="216"/>
      <c r="K99" s="216"/>
      <c r="L99" s="216"/>
      <c r="M99" s="130">
        <v>65644</v>
      </c>
      <c r="N99" s="144">
        <v>24886</v>
      </c>
      <c r="O99" s="14">
        <v>0</v>
      </c>
      <c r="P99" s="213">
        <f t="shared" si="27"/>
        <v>5500</v>
      </c>
      <c r="Q99" s="180">
        <v>3230</v>
      </c>
      <c r="R99" s="180">
        <v>652</v>
      </c>
      <c r="S99" s="180"/>
      <c r="T99" s="159">
        <v>1618</v>
      </c>
      <c r="U99" s="159"/>
      <c r="V99" s="5">
        <v>218182</v>
      </c>
      <c r="W99" s="194"/>
      <c r="X99" s="194"/>
      <c r="Y99" s="194"/>
      <c r="Z99" s="194"/>
      <c r="AA99" s="194"/>
      <c r="AB99" s="194"/>
      <c r="AC99" s="187">
        <v>169</v>
      </c>
      <c r="AD99" s="188">
        <v>1638</v>
      </c>
      <c r="AE99" s="213">
        <f t="shared" si="28"/>
        <v>1807</v>
      </c>
      <c r="AF99" s="5">
        <v>113261</v>
      </c>
      <c r="AK99" s="233"/>
      <c r="AO99" s="15">
        <v>29166</v>
      </c>
      <c r="AP99" s="125">
        <f t="shared" si="35"/>
        <v>0.11161968327350381</v>
      </c>
      <c r="AQ99" s="125">
        <v>1.53</v>
      </c>
      <c r="AR99" s="159">
        <v>26304</v>
      </c>
      <c r="AS99" s="159">
        <v>2191</v>
      </c>
      <c r="AT99" s="159"/>
      <c r="AU99" s="101">
        <v>45583</v>
      </c>
      <c r="AV99" s="125">
        <f t="shared" si="48"/>
        <v>0.37898491377660753</v>
      </c>
      <c r="AW99" s="125">
        <f t="shared" si="29"/>
        <v>0.35102067371353779</v>
      </c>
      <c r="AX99" s="125">
        <f t="shared" si="50"/>
        <v>2.7964240063069745E-2</v>
      </c>
      <c r="AY99" s="125">
        <f t="shared" si="36"/>
        <v>1.0253385181271539</v>
      </c>
      <c r="AZ99" s="125">
        <f t="shared" si="37"/>
        <v>0.46264035698704159</v>
      </c>
      <c r="BA99" s="125">
        <f t="shared" si="38"/>
        <v>0.56512452906289246</v>
      </c>
      <c r="BB99" s="125">
        <f t="shared" si="39"/>
        <v>0.66283609147220679</v>
      </c>
      <c r="BC99" s="14">
        <f t="shared" si="43"/>
        <v>267918.90410958906</v>
      </c>
      <c r="BD99" s="14">
        <f t="shared" si="44"/>
        <v>123300</v>
      </c>
      <c r="BE99" s="14">
        <f t="shared" si="45"/>
        <v>144618.90410958903</v>
      </c>
      <c r="BF99" s="14">
        <v>30</v>
      </c>
      <c r="BG99" s="14"/>
      <c r="BH99" s="179">
        <f t="shared" si="40"/>
        <v>0</v>
      </c>
      <c r="BI99" s="179">
        <f t="shared" si="41"/>
        <v>1.8093449685187231E-2</v>
      </c>
      <c r="BJ99" s="259">
        <f t="shared" si="46"/>
        <v>0.98190655031481278</v>
      </c>
      <c r="BK99" s="14">
        <f t="shared" si="47"/>
        <v>156689</v>
      </c>
      <c r="BL99" s="14">
        <f t="shared" si="51"/>
        <v>57661</v>
      </c>
      <c r="BM99" s="262">
        <f t="shared" si="52"/>
        <v>36.799647709794563</v>
      </c>
    </row>
    <row r="100" spans="1:65" x14ac:dyDescent="0.2">
      <c r="A100" s="135">
        <v>41620</v>
      </c>
      <c r="B100" s="5">
        <v>281480</v>
      </c>
      <c r="C100" s="130">
        <v>4600</v>
      </c>
      <c r="D100" s="14">
        <v>13.73</v>
      </c>
      <c r="E100" s="130">
        <v>19479.757894736842</v>
      </c>
      <c r="F100" s="186">
        <v>5.5E-2</v>
      </c>
      <c r="G100" s="165">
        <v>1481</v>
      </c>
      <c r="H100" s="208"/>
      <c r="I100" s="198"/>
      <c r="J100" s="216"/>
      <c r="K100" s="216"/>
      <c r="L100" s="216"/>
      <c r="M100" s="130">
        <v>72304</v>
      </c>
      <c r="N100" s="144">
        <v>21467</v>
      </c>
      <c r="O100" s="14">
        <v>0</v>
      </c>
      <c r="P100" s="213">
        <f t="shared" si="27"/>
        <v>5747</v>
      </c>
      <c r="Q100" s="180">
        <v>3230</v>
      </c>
      <c r="R100" s="180">
        <v>899</v>
      </c>
      <c r="S100" s="180"/>
      <c r="T100" s="159">
        <v>1618</v>
      </c>
      <c r="U100" s="159"/>
      <c r="V100" s="5">
        <v>20309</v>
      </c>
      <c r="W100" s="194"/>
      <c r="X100" s="194"/>
      <c r="Y100" s="194"/>
      <c r="Z100" s="194"/>
      <c r="AA100" s="194"/>
      <c r="AB100" s="194"/>
      <c r="AC100" s="187">
        <v>654</v>
      </c>
      <c r="AD100" s="188">
        <v>970</v>
      </c>
      <c r="AE100" s="213">
        <f t="shared" si="28"/>
        <v>1624</v>
      </c>
      <c r="AF100" s="5">
        <v>91123</v>
      </c>
      <c r="AK100" s="233"/>
      <c r="AO100" s="15">
        <v>31970</v>
      </c>
      <c r="AP100" s="125">
        <f t="shared" si="35"/>
        <v>0.11357822935910189</v>
      </c>
      <c r="AQ100" s="125">
        <v>1.62</v>
      </c>
      <c r="AR100" s="159">
        <v>20309</v>
      </c>
      <c r="AS100" s="159">
        <v>1575</v>
      </c>
      <c r="AT100" s="159"/>
      <c r="AU100" s="101">
        <v>45583</v>
      </c>
      <c r="AV100" s="125">
        <f t="shared" si="48"/>
        <v>0.36458362938752309</v>
      </c>
      <c r="AW100" s="125">
        <f t="shared" si="29"/>
        <v>0.33839704419496947</v>
      </c>
      <c r="AX100" s="125">
        <f t="shared" si="50"/>
        <v>2.6186585192553624E-2</v>
      </c>
      <c r="AY100" s="125">
        <f t="shared" si="36"/>
        <v>0.98354957455796266</v>
      </c>
      <c r="AZ100" s="125">
        <f t="shared" si="37"/>
        <v>0.45197527355407136</v>
      </c>
      <c r="BA100" s="125">
        <f t="shared" si="38"/>
        <v>6.2735732926288836</v>
      </c>
      <c r="BB100" s="125">
        <f t="shared" si="39"/>
        <v>7.3582911146080727</v>
      </c>
      <c r="BC100" s="14">
        <f t="shared" si="43"/>
        <v>276849.53424657532</v>
      </c>
      <c r="BD100" s="14">
        <f t="shared" si="44"/>
        <v>127410</v>
      </c>
      <c r="BE100" s="14">
        <f t="shared" si="45"/>
        <v>149439.53424657535</v>
      </c>
      <c r="BF100" s="14">
        <v>31</v>
      </c>
      <c r="BG100" s="14"/>
      <c r="BH100" s="179">
        <f t="shared" si="40"/>
        <v>0</v>
      </c>
      <c r="BI100" s="179">
        <f t="shared" si="41"/>
        <v>1.0344349532371415E-2</v>
      </c>
      <c r="BJ100" s="259">
        <f t="shared" si="46"/>
        <v>0.9896556504676286</v>
      </c>
      <c r="BK100" s="14">
        <f t="shared" si="47"/>
        <v>156477</v>
      </c>
      <c r="BL100" s="14">
        <f t="shared" si="51"/>
        <v>53854</v>
      </c>
      <c r="BM100" s="262">
        <f t="shared" si="52"/>
        <v>34.416559622180898</v>
      </c>
    </row>
    <row r="101" spans="1:65" x14ac:dyDescent="0.2">
      <c r="A101" s="135">
        <v>41640</v>
      </c>
      <c r="B101" s="5">
        <v>278780</v>
      </c>
      <c r="C101" s="130">
        <v>4703</v>
      </c>
      <c r="D101" s="14">
        <v>12.96</v>
      </c>
      <c r="E101" s="130">
        <v>26819.126315789472</v>
      </c>
      <c r="F101" s="186">
        <v>5.5E-2</v>
      </c>
      <c r="G101" s="165">
        <v>1775</v>
      </c>
      <c r="H101" s="208"/>
      <c r="I101" s="198"/>
      <c r="J101" s="216"/>
      <c r="K101" s="216"/>
      <c r="L101" s="216"/>
      <c r="M101" s="130">
        <v>80613</v>
      </c>
      <c r="N101" s="144">
        <v>54034</v>
      </c>
      <c r="O101" s="14">
        <v>0</v>
      </c>
      <c r="P101" s="213">
        <f t="shared" si="27"/>
        <v>5519</v>
      </c>
      <c r="Q101" s="180">
        <v>3230</v>
      </c>
      <c r="R101" s="180">
        <v>671</v>
      </c>
      <c r="S101" s="180"/>
      <c r="T101" s="159">
        <v>1618</v>
      </c>
      <c r="U101" s="159"/>
      <c r="V101" s="5">
        <v>147177</v>
      </c>
      <c r="W101" s="194"/>
      <c r="X101" s="194"/>
      <c r="Y101" s="194"/>
      <c r="Z101" s="194"/>
      <c r="AA101" s="194"/>
      <c r="AB101" s="194"/>
      <c r="AC101" s="187">
        <v>174</v>
      </c>
      <c r="AD101" s="188">
        <v>3178</v>
      </c>
      <c r="AE101" s="213">
        <f t="shared" si="28"/>
        <v>3352</v>
      </c>
      <c r="AF101" s="5">
        <v>81010</v>
      </c>
      <c r="AK101" s="233"/>
      <c r="AO101" s="15">
        <v>96905</v>
      </c>
      <c r="AP101" s="125">
        <f t="shared" si="35"/>
        <v>0.34760384532606359</v>
      </c>
      <c r="AQ101" s="125">
        <v>1.59</v>
      </c>
      <c r="AR101" s="159">
        <v>24950</v>
      </c>
      <c r="AS101" s="159">
        <v>1145</v>
      </c>
      <c r="AT101" s="159"/>
      <c r="AU101" s="101">
        <v>45583</v>
      </c>
      <c r="AV101" s="125">
        <f t="shared" si="48"/>
        <v>0.52117440275486049</v>
      </c>
      <c r="AW101" s="125">
        <f t="shared" si="29"/>
        <v>0.48935361216730039</v>
      </c>
      <c r="AX101" s="125">
        <f t="shared" si="50"/>
        <v>3.1820790587560099E-2</v>
      </c>
      <c r="AY101" s="125">
        <f t="shared" si="36"/>
        <v>0.99307530757792994</v>
      </c>
      <c r="AZ101" s="125">
        <f t="shared" si="37"/>
        <v>0.83695745749336392</v>
      </c>
      <c r="BA101" s="125">
        <f t="shared" si="38"/>
        <v>0.8656923296438982</v>
      </c>
      <c r="BB101" s="125">
        <f t="shared" si="39"/>
        <v>1.0153728792309624</v>
      </c>
      <c r="BC101" s="14">
        <f t="shared" si="43"/>
        <v>276849.53424657532</v>
      </c>
      <c r="BD101" s="14">
        <f t="shared" si="44"/>
        <v>127410</v>
      </c>
      <c r="BE101" s="14">
        <f t="shared" si="45"/>
        <v>149439.53424657535</v>
      </c>
      <c r="BF101" s="14">
        <v>31</v>
      </c>
      <c r="BG101" s="14"/>
      <c r="BH101" s="179">
        <f t="shared" si="40"/>
        <v>0</v>
      </c>
      <c r="BI101" s="179">
        <f t="shared" si="41"/>
        <v>2.360245679443285E-2</v>
      </c>
      <c r="BJ101" s="259">
        <f t="shared" si="46"/>
        <v>0.97639754320556715</v>
      </c>
      <c r="BK101" s="14">
        <f t="shared" si="47"/>
        <v>268293</v>
      </c>
      <c r="BL101" s="14">
        <f t="shared" si="51"/>
        <v>123000</v>
      </c>
      <c r="BM101" s="262">
        <f t="shared" si="52"/>
        <v>45.845400364526839</v>
      </c>
    </row>
    <row r="102" spans="1:65" x14ac:dyDescent="0.2">
      <c r="A102" s="135">
        <v>41672</v>
      </c>
      <c r="B102" s="5">
        <v>249089</v>
      </c>
      <c r="C102" s="130">
        <v>4097</v>
      </c>
      <c r="D102" s="14">
        <v>13.29</v>
      </c>
      <c r="E102" s="130">
        <v>18877.8</v>
      </c>
      <c r="F102" s="186">
        <v>5.5E-2</v>
      </c>
      <c r="G102" s="165">
        <v>2435</v>
      </c>
      <c r="H102" s="208"/>
      <c r="I102" s="198"/>
      <c r="J102" s="216"/>
      <c r="K102" s="216"/>
      <c r="L102" s="216"/>
      <c r="M102" s="130">
        <v>101607</v>
      </c>
      <c r="N102" s="144">
        <v>15642</v>
      </c>
      <c r="O102" s="14">
        <v>0</v>
      </c>
      <c r="P102" s="213">
        <f t="shared" si="27"/>
        <v>5562</v>
      </c>
      <c r="Q102" s="180">
        <v>3230</v>
      </c>
      <c r="R102" s="180">
        <v>714</v>
      </c>
      <c r="S102" s="180"/>
      <c r="T102" s="159">
        <v>1618</v>
      </c>
      <c r="U102" s="159"/>
      <c r="V102" s="5">
        <v>203570</v>
      </c>
      <c r="W102" s="194"/>
      <c r="X102" s="194"/>
      <c r="Y102" s="194"/>
      <c r="Z102" s="194"/>
      <c r="AA102" s="194"/>
      <c r="AB102" s="194"/>
      <c r="AC102" s="187">
        <v>203</v>
      </c>
      <c r="AD102" s="188">
        <v>2446</v>
      </c>
      <c r="AE102" s="213">
        <f t="shared" si="28"/>
        <v>2649</v>
      </c>
      <c r="AF102" s="5">
        <v>109927</v>
      </c>
      <c r="AK102" s="233"/>
      <c r="AO102" s="15">
        <v>27642</v>
      </c>
      <c r="AP102" s="125">
        <f t="shared" si="35"/>
        <v>0.110972383364982</v>
      </c>
      <c r="AQ102" s="125">
        <v>1.59</v>
      </c>
      <c r="AR102" s="159">
        <v>22200</v>
      </c>
      <c r="AS102" s="159">
        <v>1100</v>
      </c>
      <c r="AT102" s="159"/>
      <c r="AU102" s="101">
        <v>45583</v>
      </c>
      <c r="AV102" s="125">
        <f t="shared" si="48"/>
        <v>0.51345101550048378</v>
      </c>
      <c r="AW102" s="125">
        <f t="shared" si="29"/>
        <v>0.48048689424262009</v>
      </c>
      <c r="AX102" s="125">
        <f t="shared" si="50"/>
        <v>3.2964121257863688E-2</v>
      </c>
      <c r="AY102" s="125">
        <f t="shared" si="36"/>
        <v>1.0038887459326444</v>
      </c>
      <c r="AZ102" s="125">
        <f t="shared" si="37"/>
        <v>0.59145927760760209</v>
      </c>
      <c r="BA102" s="125">
        <f t="shared" si="38"/>
        <v>0.56530923024021218</v>
      </c>
      <c r="BB102" s="125">
        <f t="shared" si="39"/>
        <v>0.6630527279835754</v>
      </c>
      <c r="BC102" s="14">
        <f t="shared" si="43"/>
        <v>250057.64383561644</v>
      </c>
      <c r="BD102" s="14">
        <f t="shared" si="44"/>
        <v>115080</v>
      </c>
      <c r="BE102" s="14">
        <f t="shared" si="45"/>
        <v>134977.64383561644</v>
      </c>
      <c r="BF102" s="14">
        <v>28</v>
      </c>
      <c r="BG102" s="14"/>
      <c r="BH102" s="179">
        <f t="shared" si="40"/>
        <v>0</v>
      </c>
      <c r="BI102" s="179">
        <f t="shared" si="41"/>
        <v>2.0861585173434314E-2</v>
      </c>
      <c r="BJ102" s="259">
        <f t="shared" si="46"/>
        <v>0.97913841482656572</v>
      </c>
      <c r="BK102" s="14">
        <f t="shared" si="47"/>
        <v>178837</v>
      </c>
      <c r="BL102" s="14">
        <f t="shared" si="51"/>
        <v>50942</v>
      </c>
      <c r="BM102" s="262">
        <f t="shared" si="52"/>
        <v>28.485156874695953</v>
      </c>
    </row>
    <row r="103" spans="1:65" x14ac:dyDescent="0.2">
      <c r="A103" s="135">
        <v>41700</v>
      </c>
      <c r="B103" s="5">
        <v>275652</v>
      </c>
      <c r="C103" s="130">
        <v>5417</v>
      </c>
      <c r="D103" s="14">
        <v>12.88</v>
      </c>
      <c r="E103" s="130">
        <v>19799.594610526317</v>
      </c>
      <c r="F103" s="186">
        <v>5.5E-2</v>
      </c>
      <c r="G103" s="165">
        <v>1501</v>
      </c>
      <c r="H103" s="208"/>
      <c r="I103" s="198"/>
      <c r="J103" s="216"/>
      <c r="K103" s="216"/>
      <c r="L103" s="216"/>
      <c r="M103" s="130">
        <v>67844</v>
      </c>
      <c r="N103" s="144">
        <v>47346</v>
      </c>
      <c r="O103" s="14">
        <v>0</v>
      </c>
      <c r="P103" s="213">
        <f t="shared" si="27"/>
        <v>5558</v>
      </c>
      <c r="Q103" s="180">
        <v>3230</v>
      </c>
      <c r="R103" s="180">
        <v>710</v>
      </c>
      <c r="S103" s="180"/>
      <c r="T103" s="159">
        <v>1618</v>
      </c>
      <c r="U103" s="159"/>
      <c r="V103" s="5">
        <v>215471</v>
      </c>
      <c r="W103" s="194"/>
      <c r="X103" s="194"/>
      <c r="Y103" s="194"/>
      <c r="Z103" s="194"/>
      <c r="AA103" s="194"/>
      <c r="AB103" s="194"/>
      <c r="AC103" s="187">
        <v>343</v>
      </c>
      <c r="AD103" s="188">
        <v>2506</v>
      </c>
      <c r="AE103" s="213">
        <f t="shared" si="28"/>
        <v>2849</v>
      </c>
      <c r="AF103" s="5">
        <v>109950</v>
      </c>
      <c r="AK103" s="233"/>
      <c r="AO103" s="15">
        <v>35759</v>
      </c>
      <c r="AP103" s="125">
        <f t="shared" si="35"/>
        <v>0.12972516070988058</v>
      </c>
      <c r="AQ103" s="125">
        <v>1.59</v>
      </c>
      <c r="AR103" s="159">
        <v>27247</v>
      </c>
      <c r="AS103" s="159">
        <v>12546</v>
      </c>
      <c r="AT103" s="159"/>
      <c r="AU103" s="101">
        <v>45583</v>
      </c>
      <c r="AV103" s="125">
        <f t="shared" si="48"/>
        <v>0.45382583837592327</v>
      </c>
      <c r="AW103" s="125">
        <f t="shared" si="29"/>
        <v>0.42332723869226419</v>
      </c>
      <c r="AX103" s="125">
        <f t="shared" si="50"/>
        <v>3.0498599683659089E-2</v>
      </c>
      <c r="AY103" s="125">
        <f t="shared" si="36"/>
        <v>1.0043443698815002</v>
      </c>
      <c r="AZ103" s="125">
        <f t="shared" si="37"/>
        <v>0.55305239940214468</v>
      </c>
      <c r="BA103" s="125">
        <f t="shared" si="38"/>
        <v>0.59130927131725386</v>
      </c>
      <c r="BB103" s="125">
        <f t="shared" si="39"/>
        <v>0.69354824661590353</v>
      </c>
      <c r="BC103" s="14">
        <f t="shared" si="43"/>
        <v>276849.53424657532</v>
      </c>
      <c r="BD103" s="14">
        <f t="shared" si="44"/>
        <v>127410</v>
      </c>
      <c r="BE103" s="14">
        <f t="shared" si="45"/>
        <v>149439.53424657535</v>
      </c>
      <c r="BF103" s="14">
        <v>31</v>
      </c>
      <c r="BG103" s="14"/>
      <c r="BH103" s="179">
        <f t="shared" si="40"/>
        <v>0</v>
      </c>
      <c r="BI103" s="179">
        <f t="shared" si="41"/>
        <v>2.1755360708394827E-2</v>
      </c>
      <c r="BJ103" s="259">
        <f t="shared" si="46"/>
        <v>0.97824463929160521</v>
      </c>
      <c r="BK103" s="14">
        <f t="shared" si="47"/>
        <v>200650</v>
      </c>
      <c r="BL103" s="14">
        <f t="shared" si="51"/>
        <v>75552</v>
      </c>
      <c r="BM103" s="262">
        <f t="shared" si="52"/>
        <v>37.653625716421629</v>
      </c>
    </row>
    <row r="104" spans="1:65" x14ac:dyDescent="0.2">
      <c r="A104" s="135">
        <v>41732</v>
      </c>
      <c r="B104" s="5">
        <v>272850</v>
      </c>
      <c r="C104" s="130">
        <v>5283.97</v>
      </c>
      <c r="D104" s="14">
        <v>13.52</v>
      </c>
      <c r="E104" s="130">
        <v>15427.407951578951</v>
      </c>
      <c r="F104" s="186">
        <v>5.5E-2</v>
      </c>
      <c r="G104" s="165">
        <v>1391</v>
      </c>
      <c r="H104" s="208"/>
      <c r="I104" s="198"/>
      <c r="J104" s="216"/>
      <c r="K104" s="216"/>
      <c r="L104" s="216"/>
      <c r="M104" s="130">
        <v>61232</v>
      </c>
      <c r="N104" s="144">
        <v>53914</v>
      </c>
      <c r="O104" s="14">
        <v>0</v>
      </c>
      <c r="P104" s="213">
        <f t="shared" si="27"/>
        <v>5486</v>
      </c>
      <c r="Q104" s="180">
        <v>3230</v>
      </c>
      <c r="R104" s="180">
        <v>638</v>
      </c>
      <c r="S104" s="180"/>
      <c r="T104" s="159">
        <v>1618</v>
      </c>
      <c r="U104" s="159"/>
      <c r="V104" s="5">
        <v>209000</v>
      </c>
      <c r="W104" s="194"/>
      <c r="X104" s="194"/>
      <c r="Y104" s="194"/>
      <c r="Z104" s="194"/>
      <c r="AA104" s="194"/>
      <c r="AB104" s="194"/>
      <c r="AC104" s="187">
        <v>233</v>
      </c>
      <c r="AD104" s="188">
        <v>2708</v>
      </c>
      <c r="AE104" s="213">
        <f t="shared" si="28"/>
        <v>2941</v>
      </c>
      <c r="AF104" s="5">
        <v>102524</v>
      </c>
      <c r="AK104" s="233"/>
      <c r="AO104" s="15">
        <v>42035</v>
      </c>
      <c r="AP104" s="125">
        <f t="shared" si="35"/>
        <v>0.1540590067802822</v>
      </c>
      <c r="AQ104" s="125">
        <v>1.5478000000000001</v>
      </c>
      <c r="AR104" s="159">
        <v>28840</v>
      </c>
      <c r="AS104" s="159">
        <v>12128</v>
      </c>
      <c r="AT104" s="159"/>
      <c r="AU104" s="101">
        <v>45583</v>
      </c>
      <c r="AV104" s="125">
        <f t="shared" si="48"/>
        <v>0.45799523547736853</v>
      </c>
      <c r="AW104" s="125">
        <f t="shared" si="29"/>
        <v>0.42711013377313545</v>
      </c>
      <c r="AX104" s="125">
        <f t="shared" si="50"/>
        <v>3.0885101704233087E-2</v>
      </c>
      <c r="AY104" s="125">
        <f t="shared" si="36"/>
        <v>0.98192744771702056</v>
      </c>
      <c r="AZ104" s="125">
        <f t="shared" si="37"/>
        <v>0.58116914055341762</v>
      </c>
      <c r="BA104" s="125">
        <f t="shared" si="38"/>
        <v>0.58995215311004789</v>
      </c>
      <c r="BB104" s="125">
        <f t="shared" si="39"/>
        <v>0.69195647899324897</v>
      </c>
      <c r="BC104" s="14">
        <f t="shared" si="43"/>
        <v>267918.90410958906</v>
      </c>
      <c r="BD104" s="14">
        <f t="shared" si="44"/>
        <v>123300</v>
      </c>
      <c r="BE104" s="14">
        <f t="shared" si="45"/>
        <v>144618.90410958903</v>
      </c>
      <c r="BF104" s="14">
        <v>30</v>
      </c>
      <c r="BG104" s="14"/>
      <c r="BH104" s="179">
        <f t="shared" si="40"/>
        <v>0</v>
      </c>
      <c r="BI104" s="179">
        <f t="shared" si="41"/>
        <v>2.3517968492175152E-2</v>
      </c>
      <c r="BJ104" s="259">
        <f t="shared" si="46"/>
        <v>0.97648203150782487</v>
      </c>
      <c r="BK104" s="14">
        <f t="shared" si="47"/>
        <v>207967</v>
      </c>
      <c r="BL104" s="14">
        <f t="shared" si="51"/>
        <v>83003</v>
      </c>
      <c r="BM104" s="262">
        <f t="shared" si="52"/>
        <v>39.911620593651875</v>
      </c>
    </row>
    <row r="105" spans="1:65" x14ac:dyDescent="0.2">
      <c r="A105" s="135">
        <v>41763</v>
      </c>
      <c r="B105" s="5">
        <v>284702</v>
      </c>
      <c r="C105" s="130">
        <v>5112.62</v>
      </c>
      <c r="D105" s="14">
        <v>13.83</v>
      </c>
      <c r="E105" s="130">
        <v>24236.667284210536</v>
      </c>
      <c r="F105" s="186">
        <v>5.5E-2</v>
      </c>
      <c r="G105" s="165">
        <v>1548</v>
      </c>
      <c r="H105" s="208"/>
      <c r="I105" s="198"/>
      <c r="J105" s="216"/>
      <c r="K105" s="216"/>
      <c r="L105" s="216"/>
      <c r="M105" s="130">
        <v>62109</v>
      </c>
      <c r="N105" s="144">
        <v>38393</v>
      </c>
      <c r="O105" s="14">
        <v>0</v>
      </c>
      <c r="P105" s="213">
        <f t="shared" si="27"/>
        <v>5619</v>
      </c>
      <c r="Q105" s="180">
        <v>3230</v>
      </c>
      <c r="R105" s="180">
        <v>771</v>
      </c>
      <c r="S105" s="180"/>
      <c r="T105" s="159">
        <v>1618</v>
      </c>
      <c r="U105" s="159"/>
      <c r="V105" s="5">
        <v>237251</v>
      </c>
      <c r="W105" s="194"/>
      <c r="X105" s="194"/>
      <c r="Y105" s="194"/>
      <c r="Z105" s="194"/>
      <c r="AA105" s="194"/>
      <c r="AB105" s="194"/>
      <c r="AC105" s="187">
        <v>218</v>
      </c>
      <c r="AD105" s="188">
        <v>4700</v>
      </c>
      <c r="AE105" s="213">
        <f t="shared" si="28"/>
        <v>4918</v>
      </c>
      <c r="AF105" s="5">
        <v>132341</v>
      </c>
      <c r="AK105" s="233"/>
      <c r="AO105" s="15">
        <v>50645</v>
      </c>
      <c r="AP105" s="125">
        <f t="shared" si="35"/>
        <v>0.17788775632064405</v>
      </c>
      <c r="AQ105" s="125">
        <v>1.603548347</v>
      </c>
      <c r="AR105" s="159">
        <v>25652</v>
      </c>
      <c r="AS105" s="159">
        <v>16728</v>
      </c>
      <c r="AT105" s="159"/>
      <c r="AU105" s="101">
        <v>45583</v>
      </c>
      <c r="AV105" s="125">
        <f t="shared" si="48"/>
        <v>0.39545559918792283</v>
      </c>
      <c r="AW105" s="125">
        <f t="shared" si="29"/>
        <v>0.35844497053058988</v>
      </c>
      <c r="AX105" s="125">
        <f t="shared" si="50"/>
        <v>3.7010628657332956E-2</v>
      </c>
      <c r="AY105" s="125">
        <f t="shared" si="36"/>
        <v>0.97241864913690568</v>
      </c>
      <c r="AZ105" s="125">
        <f t="shared" si="37"/>
        <v>0.5363327268512339</v>
      </c>
      <c r="BA105" s="125">
        <f t="shared" si="38"/>
        <v>0.53702618745547959</v>
      </c>
      <c r="BB105" s="125">
        <f t="shared" si="39"/>
        <v>0.62987947046198056</v>
      </c>
      <c r="BC105" s="14">
        <f t="shared" si="43"/>
        <v>276849.53424657532</v>
      </c>
      <c r="BD105" s="14">
        <f t="shared" si="44"/>
        <v>127410</v>
      </c>
      <c r="BE105" s="14">
        <f t="shared" si="45"/>
        <v>149439.53424657535</v>
      </c>
      <c r="BF105" s="14">
        <v>31</v>
      </c>
      <c r="BG105" s="14"/>
      <c r="BH105" s="179">
        <f t="shared" si="40"/>
        <v>0</v>
      </c>
      <c r="BI105" s="179">
        <f t="shared" si="41"/>
        <v>4.6765238502716362E-2</v>
      </c>
      <c r="BJ105" s="259">
        <f t="shared" si="46"/>
        <v>0.95323476149728359</v>
      </c>
      <c r="BK105" s="14">
        <f t="shared" si="47"/>
        <v>205612</v>
      </c>
      <c r="BL105" s="14">
        <f t="shared" si="51"/>
        <v>93025</v>
      </c>
      <c r="BM105" s="262">
        <f t="shared" si="52"/>
        <v>45.242981927124873</v>
      </c>
    </row>
    <row r="106" spans="1:65" x14ac:dyDescent="0.2">
      <c r="A106" s="135">
        <v>41795</v>
      </c>
      <c r="B106" s="5">
        <v>277860</v>
      </c>
      <c r="C106" s="130">
        <v>5389</v>
      </c>
      <c r="D106" s="14">
        <v>13.86</v>
      </c>
      <c r="E106" s="130">
        <v>18170.323054736844</v>
      </c>
      <c r="F106" s="186">
        <v>5.5E-2</v>
      </c>
      <c r="G106" s="165">
        <v>1525</v>
      </c>
      <c r="H106" s="208"/>
      <c r="I106" s="198"/>
      <c r="J106" s="216"/>
      <c r="K106" s="216"/>
      <c r="L106" s="216"/>
      <c r="M106" s="130">
        <v>53767</v>
      </c>
      <c r="N106" s="144">
        <v>24292</v>
      </c>
      <c r="O106" s="14">
        <v>0</v>
      </c>
      <c r="P106" s="213">
        <f t="shared" si="27"/>
        <v>5473</v>
      </c>
      <c r="Q106" s="180">
        <v>3230</v>
      </c>
      <c r="R106" s="180">
        <v>625</v>
      </c>
      <c r="S106" s="180"/>
      <c r="T106" s="159">
        <v>1618</v>
      </c>
      <c r="U106" s="159"/>
      <c r="V106" s="5">
        <v>196400</v>
      </c>
      <c r="W106" s="194"/>
      <c r="X106" s="194"/>
      <c r="Y106" s="194"/>
      <c r="Z106" s="194"/>
      <c r="AA106" s="194"/>
      <c r="AB106" s="194"/>
      <c r="AC106" s="187">
        <v>218</v>
      </c>
      <c r="AD106" s="188">
        <v>3909</v>
      </c>
      <c r="AE106" s="213">
        <f t="shared" si="28"/>
        <v>4127</v>
      </c>
      <c r="AF106" s="5">
        <v>89034</v>
      </c>
      <c r="AK106" s="233"/>
      <c r="AO106" s="15">
        <v>57247</v>
      </c>
      <c r="AP106" s="125">
        <f t="shared" si="35"/>
        <v>0.20602821564816814</v>
      </c>
      <c r="AQ106" s="125">
        <v>1.59</v>
      </c>
      <c r="AR106" s="159">
        <v>36040</v>
      </c>
      <c r="AS106" s="159">
        <v>15333</v>
      </c>
      <c r="AT106" s="159"/>
      <c r="AU106" s="101">
        <v>45583</v>
      </c>
      <c r="AV106" s="125">
        <f t="shared" si="48"/>
        <v>0.32096739365147914</v>
      </c>
      <c r="AW106" s="125">
        <f t="shared" si="29"/>
        <v>0.28641762038436624</v>
      </c>
      <c r="AX106" s="125">
        <f t="shared" si="50"/>
        <v>3.4549773267112893E-2</v>
      </c>
      <c r="AY106" s="125">
        <f t="shared" si="36"/>
        <v>0.96422264489163267</v>
      </c>
      <c r="AZ106" s="125">
        <f t="shared" si="37"/>
        <v>0.49244583603253439</v>
      </c>
      <c r="BA106" s="125">
        <f t="shared" si="38"/>
        <v>0.62780040733197551</v>
      </c>
      <c r="BB106" s="125">
        <f t="shared" si="39"/>
        <v>0.73634879892866101</v>
      </c>
      <c r="BC106" s="14">
        <f t="shared" si="43"/>
        <v>267918.90410958906</v>
      </c>
      <c r="BD106" s="14">
        <f t="shared" si="44"/>
        <v>123300</v>
      </c>
      <c r="BE106" s="14">
        <f t="shared" ref="BE106:BE116" si="53">$BE$4*BF106</f>
        <v>144618.90410958903</v>
      </c>
      <c r="BF106" s="14">
        <v>30</v>
      </c>
      <c r="BG106" s="14"/>
      <c r="BH106" s="179">
        <f t="shared" si="40"/>
        <v>0</v>
      </c>
      <c r="BI106" s="179">
        <f t="shared" si="41"/>
        <v>5.0077505476626656E-2</v>
      </c>
      <c r="BJ106" s="259">
        <f t="shared" si="46"/>
        <v>0.9499224945233733</v>
      </c>
      <c r="BK106" s="14">
        <f t="shared" si="47"/>
        <v>197804</v>
      </c>
      <c r="BL106" s="14">
        <f t="shared" si="51"/>
        <v>108620</v>
      </c>
      <c r="BM106" s="262">
        <f t="shared" si="52"/>
        <v>54.912944126509068</v>
      </c>
    </row>
    <row r="107" spans="1:65" x14ac:dyDescent="0.2">
      <c r="A107" s="135">
        <v>41826</v>
      </c>
      <c r="B107" s="5">
        <v>278497.022</v>
      </c>
      <c r="C107" s="130">
        <v>5239.9399999999996</v>
      </c>
      <c r="D107" s="14">
        <v>13.44</v>
      </c>
      <c r="E107" s="130">
        <v>18378.300000000003</v>
      </c>
      <c r="F107" s="186">
        <v>5.6849548434838901E-2</v>
      </c>
      <c r="G107" s="165">
        <f t="shared" ref="G107:G151" si="54">H107+I107</f>
        <v>1623</v>
      </c>
      <c r="H107" s="208">
        <v>1208</v>
      </c>
      <c r="I107" s="198">
        <v>415</v>
      </c>
      <c r="J107" s="216"/>
      <c r="K107" s="216"/>
      <c r="L107" s="216"/>
      <c r="M107" s="130">
        <v>54968</v>
      </c>
      <c r="N107" s="144">
        <v>28529</v>
      </c>
      <c r="O107" s="14">
        <v>0</v>
      </c>
      <c r="P107" s="213">
        <f t="shared" si="27"/>
        <v>5552</v>
      </c>
      <c r="Q107" s="180">
        <v>3230</v>
      </c>
      <c r="R107" s="180">
        <v>704</v>
      </c>
      <c r="S107" s="180"/>
      <c r="T107" s="159">
        <v>1618</v>
      </c>
      <c r="U107" s="159"/>
      <c r="V107" s="5">
        <v>228254</v>
      </c>
      <c r="W107" s="194"/>
      <c r="X107" s="194"/>
      <c r="Y107" s="194"/>
      <c r="Z107" s="194"/>
      <c r="AA107" s="194"/>
      <c r="AB107" s="194"/>
      <c r="AC107" s="187">
        <v>218</v>
      </c>
      <c r="AD107" s="188">
        <v>4613</v>
      </c>
      <c r="AE107" s="213">
        <f t="shared" si="28"/>
        <v>4831</v>
      </c>
      <c r="AF107" s="5">
        <v>131290</v>
      </c>
      <c r="AK107" s="233"/>
      <c r="AO107" s="15">
        <v>46040</v>
      </c>
      <c r="AP107" s="125">
        <f t="shared" si="35"/>
        <v>0.16531595084704354</v>
      </c>
      <c r="AQ107" s="125">
        <v>1.57</v>
      </c>
      <c r="AR107" s="159">
        <v>34531</v>
      </c>
      <c r="AS107" s="159">
        <v>15756</v>
      </c>
      <c r="AT107" s="159"/>
      <c r="AU107" s="101">
        <v>45583</v>
      </c>
      <c r="AV107" s="125">
        <f t="shared" si="48"/>
        <v>0.34292287692756729</v>
      </c>
      <c r="AW107" s="125">
        <f t="shared" si="29"/>
        <v>0.30564061112294405</v>
      </c>
      <c r="AX107" s="125">
        <f t="shared" si="50"/>
        <v>3.7282265804623238E-2</v>
      </c>
      <c r="AY107" s="125">
        <f t="shared" si="36"/>
        <v>0.99408436132783973</v>
      </c>
      <c r="AZ107" s="125">
        <f t="shared" si="37"/>
        <v>0.47095656196998759</v>
      </c>
      <c r="BA107" s="125">
        <f t="shared" si="38"/>
        <v>0.55819394183672577</v>
      </c>
      <c r="BB107" s="125">
        <f t="shared" si="39"/>
        <v>0.6547071869346226</v>
      </c>
      <c r="BC107" s="14">
        <f t="shared" si="43"/>
        <v>276849.53424657532</v>
      </c>
      <c r="BD107" s="14">
        <f t="shared" si="44"/>
        <v>127410</v>
      </c>
      <c r="BE107" s="14">
        <f t="shared" si="53"/>
        <v>149439.53424657535</v>
      </c>
      <c r="BF107" s="14">
        <v>31</v>
      </c>
      <c r="BG107" s="14"/>
      <c r="BH107" s="179">
        <f t="shared" si="40"/>
        <v>0</v>
      </c>
      <c r="BI107" s="179">
        <f t="shared" si="41"/>
        <v>5.5247493921937313E-2</v>
      </c>
      <c r="BJ107" s="259">
        <f t="shared" si="46"/>
        <v>0.94475250607806271</v>
      </c>
      <c r="BK107" s="14">
        <f t="shared" si="47"/>
        <v>191830</v>
      </c>
      <c r="BL107" s="14">
        <f t="shared" si="51"/>
        <v>96327</v>
      </c>
      <c r="BM107" s="262">
        <f t="shared" si="52"/>
        <v>50.21477349736746</v>
      </c>
    </row>
    <row r="108" spans="1:65" x14ac:dyDescent="0.2">
      <c r="A108" s="135">
        <v>41858</v>
      </c>
      <c r="B108" s="5">
        <v>287951.54300000001</v>
      </c>
      <c r="C108" s="130">
        <v>4720</v>
      </c>
      <c r="D108" s="14">
        <v>13.34</v>
      </c>
      <c r="E108" s="130">
        <v>24241.559999999998</v>
      </c>
      <c r="F108" s="186">
        <v>5.34873900854567E-2</v>
      </c>
      <c r="G108" s="165">
        <f t="shared" si="54"/>
        <v>1509</v>
      </c>
      <c r="H108" s="208">
        <v>968</v>
      </c>
      <c r="I108" s="198">
        <v>541</v>
      </c>
      <c r="J108" s="216"/>
      <c r="K108" s="216"/>
      <c r="L108" s="216"/>
      <c r="M108" s="130">
        <v>49790</v>
      </c>
      <c r="N108" s="144">
        <v>65248</v>
      </c>
      <c r="O108" s="14">
        <v>0</v>
      </c>
      <c r="P108" s="213">
        <f t="shared" si="27"/>
        <v>5464</v>
      </c>
      <c r="Q108" s="180">
        <v>3230</v>
      </c>
      <c r="R108" s="180">
        <v>616</v>
      </c>
      <c r="S108" s="180"/>
      <c r="T108" s="159">
        <v>1618</v>
      </c>
      <c r="U108" s="159"/>
      <c r="V108" s="5">
        <v>241220</v>
      </c>
      <c r="W108" s="194"/>
      <c r="X108" s="194"/>
      <c r="Y108" s="194"/>
      <c r="Z108" s="194"/>
      <c r="AA108" s="194"/>
      <c r="AB108" s="194"/>
      <c r="AC108" s="187">
        <v>218</v>
      </c>
      <c r="AD108" s="188">
        <v>4099</v>
      </c>
      <c r="AE108" s="213">
        <f t="shared" si="28"/>
        <v>4317</v>
      </c>
      <c r="AF108" s="5">
        <v>126701</v>
      </c>
      <c r="AK108" s="233"/>
      <c r="AO108" s="15">
        <v>19213</v>
      </c>
      <c r="AP108" s="125">
        <f t="shared" si="35"/>
        <v>6.6723031937356209E-2</v>
      </c>
      <c r="AQ108" s="125">
        <v>1.59</v>
      </c>
      <c r="AR108" s="159">
        <v>33741</v>
      </c>
      <c r="AS108" s="159">
        <v>13256</v>
      </c>
      <c r="AT108" s="159"/>
      <c r="AU108" s="101">
        <v>45583</v>
      </c>
      <c r="AV108" s="125">
        <f t="shared" si="48"/>
        <v>0.43871270382461536</v>
      </c>
      <c r="AW108" s="125">
        <f t="shared" si="29"/>
        <v>0.40474518311575775</v>
      </c>
      <c r="AX108" s="125">
        <f t="shared" ref="AX108:AX162" si="55">AV108-AW108</f>
        <v>3.3967520708857613E-2</v>
      </c>
      <c r="AY108" s="125">
        <f t="shared" si="36"/>
        <v>0.96144487146080448</v>
      </c>
      <c r="AZ108" s="125">
        <f t="shared" si="37"/>
        <v>0.47146821505311398</v>
      </c>
      <c r="BA108" s="125">
        <f t="shared" si="38"/>
        <v>0.52819003399386455</v>
      </c>
      <c r="BB108" s="125">
        <f t="shared" si="39"/>
        <v>0.61951552212327066</v>
      </c>
      <c r="BC108" s="14">
        <f t="shared" si="43"/>
        <v>276849.53424657532</v>
      </c>
      <c r="BD108" s="14">
        <f t="shared" si="44"/>
        <v>127410</v>
      </c>
      <c r="BE108" s="14">
        <f t="shared" si="53"/>
        <v>149439.53424657535</v>
      </c>
      <c r="BF108" s="14">
        <v>31</v>
      </c>
      <c r="BG108" s="14"/>
      <c r="BH108" s="179">
        <f t="shared" si="40"/>
        <v>0</v>
      </c>
      <c r="BI108" s="179">
        <f t="shared" si="41"/>
        <v>3.5631704306403104E-2</v>
      </c>
      <c r="BJ108" s="259">
        <f t="shared" si="46"/>
        <v>0.96436829569359694</v>
      </c>
      <c r="BK108" s="14">
        <f t="shared" si="47"/>
        <v>192538</v>
      </c>
      <c r="BL108" s="14">
        <f t="shared" si="51"/>
        <v>66210</v>
      </c>
      <c r="BM108" s="262">
        <f t="shared" si="52"/>
        <v>34.388016910947449</v>
      </c>
    </row>
    <row r="109" spans="1:65" x14ac:dyDescent="0.2">
      <c r="A109" s="135">
        <v>41890</v>
      </c>
      <c r="B109" s="5">
        <v>269149</v>
      </c>
      <c r="C109" s="130">
        <v>4608</v>
      </c>
      <c r="D109" s="14">
        <v>13.55</v>
      </c>
      <c r="E109" s="130">
        <v>17546.420000000002</v>
      </c>
      <c r="F109" s="186">
        <v>5.5444962904113902E-2</v>
      </c>
      <c r="G109" s="165">
        <f t="shared" si="54"/>
        <v>1507</v>
      </c>
      <c r="H109" s="208">
        <v>813</v>
      </c>
      <c r="I109" s="198">
        <v>694</v>
      </c>
      <c r="J109" s="216"/>
      <c r="K109" s="216"/>
      <c r="L109" s="216"/>
      <c r="M109" s="130">
        <v>58557</v>
      </c>
      <c r="N109" s="144">
        <v>57197</v>
      </c>
      <c r="O109" s="14">
        <v>0</v>
      </c>
      <c r="P109" s="213">
        <f t="shared" si="27"/>
        <v>5610</v>
      </c>
      <c r="Q109" s="180">
        <v>3230</v>
      </c>
      <c r="R109" s="180">
        <v>762</v>
      </c>
      <c r="S109" s="180"/>
      <c r="T109" s="159">
        <v>1618</v>
      </c>
      <c r="U109" s="159"/>
      <c r="V109" s="5">
        <v>202210</v>
      </c>
      <c r="W109" s="194"/>
      <c r="X109" s="194"/>
      <c r="Y109" s="194"/>
      <c r="Z109" s="194"/>
      <c r="AA109" s="194"/>
      <c r="AB109" s="194"/>
      <c r="AC109" s="187">
        <v>218</v>
      </c>
      <c r="AD109" s="188">
        <v>4032</v>
      </c>
      <c r="AE109" s="213">
        <f t="shared" si="28"/>
        <v>4250</v>
      </c>
      <c r="AF109" s="5">
        <v>108819</v>
      </c>
      <c r="AK109" s="233"/>
      <c r="AO109" s="15">
        <v>43062</v>
      </c>
      <c r="AP109" s="125">
        <f t="shared" si="35"/>
        <v>0.15999316363798491</v>
      </c>
      <c r="AQ109" s="125">
        <v>1.61</v>
      </c>
      <c r="AR109" s="159">
        <v>36350</v>
      </c>
      <c r="AS109" s="159">
        <v>12732</v>
      </c>
      <c r="AT109" s="159"/>
      <c r="AU109" s="101">
        <v>45583</v>
      </c>
      <c r="AV109" s="125">
        <f t="shared" si="48"/>
        <v>0.47230716071766937</v>
      </c>
      <c r="AW109" s="125">
        <f t="shared" si="29"/>
        <v>0.43567317731070893</v>
      </c>
      <c r="AX109" s="125">
        <f t="shared" si="55"/>
        <v>3.6633983406960446E-2</v>
      </c>
      <c r="AY109" s="125">
        <f t="shared" si="36"/>
        <v>0.99542968433688794</v>
      </c>
      <c r="AZ109" s="125">
        <f t="shared" si="37"/>
        <v>0.59566634094869386</v>
      </c>
      <c r="BA109" s="125">
        <f t="shared" si="38"/>
        <v>0.60976212848029276</v>
      </c>
      <c r="BB109" s="125">
        <f t="shared" si="39"/>
        <v>0.71519165278467445</v>
      </c>
      <c r="BC109" s="14">
        <f t="shared" si="43"/>
        <v>267918.90410958906</v>
      </c>
      <c r="BD109" s="14">
        <f t="shared" si="44"/>
        <v>123300</v>
      </c>
      <c r="BE109" s="14">
        <f t="shared" si="53"/>
        <v>144618.90410958903</v>
      </c>
      <c r="BF109" s="14">
        <v>30</v>
      </c>
      <c r="BG109" s="14"/>
      <c r="BH109" s="179">
        <f t="shared" si="40"/>
        <v>0</v>
      </c>
      <c r="BI109" s="179">
        <f t="shared" si="41"/>
        <v>3.483248958999257E-2</v>
      </c>
      <c r="BJ109" s="259">
        <f t="shared" si="46"/>
        <v>0.96516751041000748</v>
      </c>
      <c r="BK109" s="14">
        <f t="shared" si="47"/>
        <v>219265</v>
      </c>
      <c r="BL109" s="14">
        <f t="shared" si="51"/>
        <v>92144</v>
      </c>
      <c r="BM109" s="262">
        <f t="shared" si="52"/>
        <v>42.024034843682301</v>
      </c>
    </row>
    <row r="110" spans="1:65" x14ac:dyDescent="0.2">
      <c r="A110" s="135">
        <v>41921</v>
      </c>
      <c r="B110" s="5">
        <v>284514</v>
      </c>
      <c r="C110" s="130">
        <v>5168.8433999999997</v>
      </c>
      <c r="D110" s="14">
        <v>13.02</v>
      </c>
      <c r="E110" s="130">
        <v>18026.259999999998</v>
      </c>
      <c r="F110" s="186">
        <v>5.1400000000000001E-2</v>
      </c>
      <c r="G110" s="165">
        <f t="shared" si="54"/>
        <v>1616</v>
      </c>
      <c r="H110" s="208">
        <v>268</v>
      </c>
      <c r="I110" s="198">
        <v>1348</v>
      </c>
      <c r="J110" s="216"/>
      <c r="K110" s="216"/>
      <c r="L110" s="216"/>
      <c r="M110" s="130">
        <v>63852</v>
      </c>
      <c r="N110" s="144">
        <v>33476</v>
      </c>
      <c r="O110" s="14">
        <v>0</v>
      </c>
      <c r="P110" s="213">
        <f t="shared" si="27"/>
        <v>5506</v>
      </c>
      <c r="Q110" s="180">
        <v>3230</v>
      </c>
      <c r="R110" s="180">
        <v>658</v>
      </c>
      <c r="S110" s="180"/>
      <c r="T110" s="159">
        <v>1618</v>
      </c>
      <c r="U110" s="159"/>
      <c r="V110" s="5">
        <v>175952</v>
      </c>
      <c r="W110" s="194"/>
      <c r="X110" s="194"/>
      <c r="Y110" s="194"/>
      <c r="Z110" s="194"/>
      <c r="AA110" s="194"/>
      <c r="AB110" s="194"/>
      <c r="AC110" s="187">
        <v>218</v>
      </c>
      <c r="AD110" s="188">
        <v>3998</v>
      </c>
      <c r="AE110" s="213">
        <f t="shared" si="28"/>
        <v>4216</v>
      </c>
      <c r="AF110" s="5">
        <v>115492</v>
      </c>
      <c r="AK110" s="233"/>
      <c r="AO110" s="15">
        <v>17088</v>
      </c>
      <c r="AP110" s="125">
        <f t="shared" ref="AP110:AP141" si="56">AO110/B110</f>
        <v>6.0060313376494652E-2</v>
      </c>
      <c r="AQ110" s="125">
        <v>1.55</v>
      </c>
      <c r="AR110" s="159">
        <v>29835</v>
      </c>
      <c r="AS110" s="159">
        <v>12382</v>
      </c>
      <c r="AT110" s="159"/>
      <c r="AU110" s="101">
        <v>45583</v>
      </c>
      <c r="AV110" s="125">
        <f t="shared" si="48"/>
        <v>0.3819355110820557</v>
      </c>
      <c r="AW110" s="125">
        <f t="shared" si="29"/>
        <v>0.34776496059947842</v>
      </c>
      <c r="AX110" s="125">
        <f t="shared" si="55"/>
        <v>3.4170550482577278E-2</v>
      </c>
      <c r="AY110" s="125">
        <f t="shared" ref="AY110:AY141" si="57">BC110/B110</f>
        <v>0.9730611999640626</v>
      </c>
      <c r="AZ110" s="125">
        <f t="shared" ref="AZ110:AZ141" si="58">(M110+N110+G110+AO110)/B110</f>
        <v>0.40782527397597307</v>
      </c>
      <c r="BA110" s="125">
        <f t="shared" ref="BA110:BA141" si="59">BD110/V110</f>
        <v>0.72411794125670637</v>
      </c>
      <c r="BB110" s="125">
        <f t="shared" ref="BB110:BB141" si="60">BE110/V110</f>
        <v>0.84931989546339537</v>
      </c>
      <c r="BC110" s="14">
        <f t="shared" si="43"/>
        <v>276849.53424657532</v>
      </c>
      <c r="BD110" s="14">
        <f t="shared" si="44"/>
        <v>127410</v>
      </c>
      <c r="BE110" s="14">
        <f t="shared" si="53"/>
        <v>149439.53424657535</v>
      </c>
      <c r="BF110" s="14">
        <v>31</v>
      </c>
      <c r="BG110" s="14"/>
      <c r="BH110" s="179">
        <f t="shared" si="40"/>
        <v>0</v>
      </c>
      <c r="BI110" s="179">
        <f t="shared" si="41"/>
        <v>4.1077593292783168E-2</v>
      </c>
      <c r="BJ110" s="259">
        <f t="shared" si="46"/>
        <v>0.95892240670721685</v>
      </c>
      <c r="BK110" s="14">
        <f t="shared" si="47"/>
        <v>167971</v>
      </c>
      <c r="BL110" s="14">
        <f t="shared" si="51"/>
        <v>59305</v>
      </c>
      <c r="BM110" s="262">
        <f t="shared" si="52"/>
        <v>35.30668984527091</v>
      </c>
    </row>
    <row r="111" spans="1:65" x14ac:dyDescent="0.2">
      <c r="A111" s="135">
        <v>41953</v>
      </c>
      <c r="B111" s="5">
        <v>279980</v>
      </c>
      <c r="C111" s="130">
        <v>4218</v>
      </c>
      <c r="D111" s="14">
        <v>13.65</v>
      </c>
      <c r="E111" s="130">
        <v>19771</v>
      </c>
      <c r="F111" s="186">
        <v>4.9099999999999998E-2</v>
      </c>
      <c r="G111" s="165">
        <f t="shared" si="54"/>
        <v>1459</v>
      </c>
      <c r="H111" s="208">
        <v>368</v>
      </c>
      <c r="I111" s="198">
        <v>1091</v>
      </c>
      <c r="J111" s="216"/>
      <c r="K111" s="216"/>
      <c r="L111" s="216"/>
      <c r="M111" s="130">
        <v>67560</v>
      </c>
      <c r="N111" s="144">
        <v>43721</v>
      </c>
      <c r="O111" s="14">
        <v>0</v>
      </c>
      <c r="P111" s="213">
        <f t="shared" si="27"/>
        <v>5527</v>
      </c>
      <c r="Q111" s="180">
        <v>3230</v>
      </c>
      <c r="R111" s="180">
        <v>679</v>
      </c>
      <c r="S111" s="180"/>
      <c r="T111" s="159">
        <v>1618</v>
      </c>
      <c r="U111" s="159"/>
      <c r="V111" s="5">
        <v>209384</v>
      </c>
      <c r="W111" s="194"/>
      <c r="X111" s="194"/>
      <c r="Y111" s="194"/>
      <c r="Z111" s="194"/>
      <c r="AA111" s="194"/>
      <c r="AB111" s="194"/>
      <c r="AC111" s="187">
        <v>218</v>
      </c>
      <c r="AD111" s="188">
        <v>4126</v>
      </c>
      <c r="AE111" s="213">
        <f t="shared" si="28"/>
        <v>4344</v>
      </c>
      <c r="AF111" s="5">
        <v>111536</v>
      </c>
      <c r="AK111" s="233"/>
      <c r="AO111" s="15">
        <v>20908</v>
      </c>
      <c r="AP111" s="125">
        <f t="shared" si="56"/>
        <v>7.4676762625901852E-2</v>
      </c>
      <c r="AQ111" s="125">
        <v>1.54</v>
      </c>
      <c r="AR111" s="159">
        <v>32936</v>
      </c>
      <c r="AS111" s="159">
        <v>12781</v>
      </c>
      <c r="AT111" s="159"/>
      <c r="AU111" s="101">
        <v>45583</v>
      </c>
      <c r="AV111" s="125">
        <f t="shared" si="48"/>
        <v>0.43792770912208012</v>
      </c>
      <c r="AW111" s="125">
        <f t="shared" si="29"/>
        <v>0.40267161940138579</v>
      </c>
      <c r="AX111" s="125">
        <f t="shared" si="55"/>
        <v>3.5256089720694328E-2</v>
      </c>
      <c r="AY111" s="125">
        <f t="shared" si="57"/>
        <v>0.95692158050428267</v>
      </c>
      <c r="AZ111" s="125">
        <f t="shared" si="58"/>
        <v>0.47734838202728769</v>
      </c>
      <c r="BA111" s="125">
        <f t="shared" si="59"/>
        <v>0.58887020975814774</v>
      </c>
      <c r="BB111" s="125">
        <f t="shared" si="60"/>
        <v>0.69068746470403197</v>
      </c>
      <c r="BC111" s="14">
        <f t="shared" si="43"/>
        <v>267918.90410958906</v>
      </c>
      <c r="BD111" s="14">
        <f t="shared" si="44"/>
        <v>123300</v>
      </c>
      <c r="BE111" s="14">
        <f t="shared" si="53"/>
        <v>144618.90410958903</v>
      </c>
      <c r="BF111" s="14">
        <v>30</v>
      </c>
      <c r="BG111" s="14"/>
      <c r="BH111" s="179">
        <f t="shared" ref="BH111:BH142" si="61">O111/(M111+N111)</f>
        <v>0</v>
      </c>
      <c r="BI111" s="179">
        <f t="shared" ref="BI111:BI142" si="62">AD111/(M111+N111)</f>
        <v>3.7077308794852673E-2</v>
      </c>
      <c r="BJ111" s="259">
        <f t="shared" si="46"/>
        <v>0.96292269120514729</v>
      </c>
      <c r="BK111" s="14">
        <f t="shared" si="47"/>
        <v>189236</v>
      </c>
      <c r="BL111" s="14">
        <f t="shared" si="51"/>
        <v>66625</v>
      </c>
      <c r="BM111" s="262">
        <f t="shared" si="52"/>
        <v>35.207360121752735</v>
      </c>
    </row>
    <row r="112" spans="1:65" x14ac:dyDescent="0.2">
      <c r="A112" s="135">
        <v>41984</v>
      </c>
      <c r="B112" s="5">
        <v>286879</v>
      </c>
      <c r="C112" s="130">
        <v>4675</v>
      </c>
      <c r="D112" s="14">
        <v>13.91</v>
      </c>
      <c r="E112" s="130">
        <v>17331</v>
      </c>
      <c r="F112" s="186">
        <v>5.2999999999999999E-2</v>
      </c>
      <c r="G112" s="165">
        <f t="shared" si="54"/>
        <v>2137</v>
      </c>
      <c r="H112" s="208">
        <v>672</v>
      </c>
      <c r="I112" s="198">
        <v>1465</v>
      </c>
      <c r="J112" s="216"/>
      <c r="K112" s="216"/>
      <c r="L112" s="216"/>
      <c r="M112" s="130">
        <v>62713</v>
      </c>
      <c r="N112" s="144">
        <v>42801</v>
      </c>
      <c r="O112" s="14">
        <v>0</v>
      </c>
      <c r="P112" s="213">
        <f t="shared" si="27"/>
        <v>5466</v>
      </c>
      <c r="Q112" s="180">
        <v>3230</v>
      </c>
      <c r="R112" s="180">
        <v>618</v>
      </c>
      <c r="S112" s="180"/>
      <c r="T112" s="159">
        <v>1618</v>
      </c>
      <c r="U112" s="159"/>
      <c r="V112" s="5">
        <v>155342</v>
      </c>
      <c r="W112" s="194"/>
      <c r="X112" s="194"/>
      <c r="Y112" s="194"/>
      <c r="Z112" s="194"/>
      <c r="AA112" s="194"/>
      <c r="AB112" s="194"/>
      <c r="AC112" s="187">
        <v>218</v>
      </c>
      <c r="AD112" s="188">
        <v>2524</v>
      </c>
      <c r="AE112" s="213">
        <f t="shared" si="28"/>
        <v>2742</v>
      </c>
      <c r="AF112" s="5">
        <v>89596</v>
      </c>
      <c r="AK112" s="233"/>
      <c r="AO112" s="15">
        <v>8323</v>
      </c>
      <c r="AP112" s="125">
        <f t="shared" si="56"/>
        <v>2.90122316377288E-2</v>
      </c>
      <c r="AQ112" s="125">
        <v>1.58</v>
      </c>
      <c r="AR112" s="159">
        <v>30851</v>
      </c>
      <c r="AS112" s="159">
        <v>15237</v>
      </c>
      <c r="AT112" s="159"/>
      <c r="AU112" s="101">
        <v>45583</v>
      </c>
      <c r="AV112" s="125">
        <f t="shared" si="48"/>
        <v>0.40386016404128572</v>
      </c>
      <c r="AW112" s="125">
        <f t="shared" si="29"/>
        <v>0.37524879827383673</v>
      </c>
      <c r="AX112" s="125">
        <f t="shared" si="55"/>
        <v>2.8611365767448993E-2</v>
      </c>
      <c r="AY112" s="125">
        <f t="shared" si="57"/>
        <v>0.9650393868027124</v>
      </c>
      <c r="AZ112" s="125">
        <f t="shared" si="58"/>
        <v>0.40426102991156548</v>
      </c>
      <c r="BA112" s="125">
        <f t="shared" si="59"/>
        <v>0.82019028981215636</v>
      </c>
      <c r="BB112" s="125">
        <f t="shared" si="60"/>
        <v>0.96200341341411433</v>
      </c>
      <c r="BC112" s="14">
        <f t="shared" si="43"/>
        <v>276849.53424657532</v>
      </c>
      <c r="BD112" s="14">
        <f t="shared" si="44"/>
        <v>127410</v>
      </c>
      <c r="BE112" s="14">
        <f t="shared" si="53"/>
        <v>149439.53424657535</v>
      </c>
      <c r="BF112" s="14">
        <v>31</v>
      </c>
      <c r="BG112" s="14"/>
      <c r="BH112" s="179">
        <f t="shared" si="61"/>
        <v>0</v>
      </c>
      <c r="BI112" s="179">
        <f t="shared" si="62"/>
        <v>2.3920996265898366E-2</v>
      </c>
      <c r="BJ112" s="259">
        <f t="shared" si="46"/>
        <v>0.97607900373410161</v>
      </c>
      <c r="BK112" s="14">
        <f t="shared" si="47"/>
        <v>170270</v>
      </c>
      <c r="BL112" s="14">
        <f t="shared" si="51"/>
        <v>54411</v>
      </c>
      <c r="BM112" s="262">
        <f t="shared" si="52"/>
        <v>31.955717390027605</v>
      </c>
    </row>
    <row r="113" spans="1:87" x14ac:dyDescent="0.2">
      <c r="A113" s="135">
        <v>42016</v>
      </c>
      <c r="B113" s="5">
        <v>279928</v>
      </c>
      <c r="C113" s="130">
        <v>4395</v>
      </c>
      <c r="D113" s="14">
        <v>13.75</v>
      </c>
      <c r="E113" s="130">
        <v>24718</v>
      </c>
      <c r="F113" s="186">
        <v>5.04E-2</v>
      </c>
      <c r="G113" s="165">
        <f t="shared" si="54"/>
        <v>2211</v>
      </c>
      <c r="H113" s="208">
        <v>776</v>
      </c>
      <c r="I113" s="198">
        <v>1435</v>
      </c>
      <c r="J113" s="216"/>
      <c r="K113" s="216"/>
      <c r="L113" s="216"/>
      <c r="M113" s="130">
        <v>70753</v>
      </c>
      <c r="N113" s="144">
        <v>17123</v>
      </c>
      <c r="O113" s="14">
        <v>0</v>
      </c>
      <c r="P113" s="213">
        <f t="shared" si="27"/>
        <v>5440</v>
      </c>
      <c r="Q113" s="180">
        <v>3230</v>
      </c>
      <c r="R113" s="180">
        <v>592</v>
      </c>
      <c r="S113" s="180"/>
      <c r="T113" s="159">
        <v>1618</v>
      </c>
      <c r="U113" s="159"/>
      <c r="V113" s="5">
        <v>150212</v>
      </c>
      <c r="W113" s="194"/>
      <c r="X113" s="194"/>
      <c r="Y113" s="194"/>
      <c r="Z113" s="194"/>
      <c r="AA113" s="194"/>
      <c r="AB113" s="194"/>
      <c r="AC113" s="187">
        <v>218</v>
      </c>
      <c r="AD113" s="188">
        <v>3216</v>
      </c>
      <c r="AE113" s="213">
        <f t="shared" si="28"/>
        <v>3434</v>
      </c>
      <c r="AF113" s="5">
        <v>80331</v>
      </c>
      <c r="AK113" s="233"/>
      <c r="AO113" s="15">
        <v>45000</v>
      </c>
      <c r="AP113" s="125">
        <f t="shared" si="56"/>
        <v>0.16075562287445344</v>
      </c>
      <c r="AQ113" s="125">
        <v>1.58</v>
      </c>
      <c r="AR113" s="159">
        <v>35669</v>
      </c>
      <c r="AS113" s="159">
        <v>13371</v>
      </c>
      <c r="AT113" s="159"/>
      <c r="AU113" s="101">
        <v>45583</v>
      </c>
      <c r="AV113" s="125">
        <f t="shared" si="48"/>
        <v>0.353523048783973</v>
      </c>
      <c r="AW113" s="125">
        <f t="shared" si="29"/>
        <v>0.3218220399531308</v>
      </c>
      <c r="AX113" s="125">
        <f t="shared" si="55"/>
        <v>3.1701008830842203E-2</v>
      </c>
      <c r="AY113" s="125">
        <f t="shared" si="57"/>
        <v>0.98900265156245648</v>
      </c>
      <c r="AZ113" s="125">
        <f t="shared" si="58"/>
        <v>0.48257766282758424</v>
      </c>
      <c r="BA113" s="125">
        <f t="shared" si="59"/>
        <v>0.84820120895800599</v>
      </c>
      <c r="BB113" s="125">
        <f t="shared" si="60"/>
        <v>0.99485749638228205</v>
      </c>
      <c r="BC113" s="14">
        <f t="shared" si="43"/>
        <v>276849.53424657532</v>
      </c>
      <c r="BD113" s="14">
        <f t="shared" si="44"/>
        <v>127410</v>
      </c>
      <c r="BE113" s="14">
        <f t="shared" si="53"/>
        <v>149439.53424657535</v>
      </c>
      <c r="BF113" s="14">
        <v>31</v>
      </c>
      <c r="BG113" s="14"/>
      <c r="BH113" s="179">
        <f t="shared" si="61"/>
        <v>0</v>
      </c>
      <c r="BI113" s="179">
        <f t="shared" si="62"/>
        <v>3.6597023077973509E-2</v>
      </c>
      <c r="BJ113" s="259">
        <f t="shared" si="46"/>
        <v>0.96340297692202648</v>
      </c>
      <c r="BK113" s="14">
        <f t="shared" ref="BK113:BK144" si="63">SUM(G113,M113,N113:O113,P113,AE113,AO113,AR113,AS113)</f>
        <v>193001</v>
      </c>
      <c r="BL113" s="14">
        <f t="shared" si="51"/>
        <v>94040</v>
      </c>
      <c r="BM113" s="262">
        <f t="shared" si="52"/>
        <v>48.725136139190987</v>
      </c>
    </row>
    <row r="114" spans="1:87" x14ac:dyDescent="0.2">
      <c r="A114" s="135">
        <v>42048</v>
      </c>
      <c r="B114" s="5">
        <v>256660</v>
      </c>
      <c r="C114" s="130">
        <v>4862</v>
      </c>
      <c r="D114" s="14">
        <v>14.1</v>
      </c>
      <c r="E114" s="130">
        <v>16627</v>
      </c>
      <c r="F114" s="186">
        <v>5.28E-2</v>
      </c>
      <c r="G114" s="165">
        <f t="shared" si="54"/>
        <v>2210</v>
      </c>
      <c r="H114" s="208">
        <v>737</v>
      </c>
      <c r="I114" s="198">
        <v>1473</v>
      </c>
      <c r="J114" s="216"/>
      <c r="K114" s="216"/>
      <c r="L114" s="216"/>
      <c r="M114" s="130">
        <v>68234</v>
      </c>
      <c r="N114" s="144">
        <v>45314</v>
      </c>
      <c r="O114" s="14">
        <v>0</v>
      </c>
      <c r="P114" s="213">
        <f t="shared" si="27"/>
        <v>5583</v>
      </c>
      <c r="Q114" s="180">
        <v>3230</v>
      </c>
      <c r="R114" s="180">
        <v>735</v>
      </c>
      <c r="S114" s="180"/>
      <c r="T114" s="159">
        <v>1618</v>
      </c>
      <c r="U114" s="159"/>
      <c r="V114" s="5">
        <v>185840</v>
      </c>
      <c r="W114" s="194"/>
      <c r="X114" s="194"/>
      <c r="Y114" s="194"/>
      <c r="Z114" s="194"/>
      <c r="AA114" s="194"/>
      <c r="AB114" s="194"/>
      <c r="AC114" s="187">
        <v>218</v>
      </c>
      <c r="AD114" s="188">
        <v>3146</v>
      </c>
      <c r="AE114" s="213">
        <f t="shared" si="28"/>
        <v>3364</v>
      </c>
      <c r="AF114" s="5">
        <v>117197</v>
      </c>
      <c r="AK114" s="233"/>
      <c r="AO114" s="15">
        <v>63752</v>
      </c>
      <c r="AP114" s="125">
        <f t="shared" si="56"/>
        <v>0.24839086729525442</v>
      </c>
      <c r="AQ114" s="125">
        <v>1.55</v>
      </c>
      <c r="AR114" s="159">
        <v>34135</v>
      </c>
      <c r="AS114" s="159">
        <v>13275</v>
      </c>
      <c r="AT114" s="159"/>
      <c r="AU114" s="101">
        <v>45583</v>
      </c>
      <c r="AV114" s="125">
        <f t="shared" si="48"/>
        <v>0.48587625652614352</v>
      </c>
      <c r="AW114" s="125">
        <f t="shared" si="29"/>
        <v>0.45101690953011764</v>
      </c>
      <c r="AX114" s="125">
        <f t="shared" si="55"/>
        <v>3.4859346996025886E-2</v>
      </c>
      <c r="AY114" s="125">
        <f t="shared" si="57"/>
        <v>0.97427586626516183</v>
      </c>
      <c r="AZ114" s="125">
        <f t="shared" si="58"/>
        <v>0.69940777682537214</v>
      </c>
      <c r="BA114" s="125">
        <f t="shared" si="59"/>
        <v>0.61924235901851055</v>
      </c>
      <c r="BB114" s="125">
        <f t="shared" si="60"/>
        <v>0.72631104087180609</v>
      </c>
      <c r="BC114" s="14">
        <f t="shared" si="43"/>
        <v>250057.64383561644</v>
      </c>
      <c r="BD114" s="14">
        <f t="shared" si="44"/>
        <v>115080</v>
      </c>
      <c r="BE114" s="14">
        <f t="shared" si="53"/>
        <v>134977.64383561644</v>
      </c>
      <c r="BF114" s="14">
        <v>28</v>
      </c>
      <c r="BG114" s="14"/>
      <c r="BH114" s="179">
        <f t="shared" si="61"/>
        <v>0</v>
      </c>
      <c r="BI114" s="179">
        <f t="shared" si="62"/>
        <v>2.7706344453447E-2</v>
      </c>
      <c r="BJ114" s="259">
        <f t="shared" si="46"/>
        <v>0.972293655546553</v>
      </c>
      <c r="BK114" s="14">
        <f t="shared" si="63"/>
        <v>235867</v>
      </c>
      <c r="BL114" s="14">
        <f t="shared" si="51"/>
        <v>111162</v>
      </c>
      <c r="BM114" s="262">
        <f t="shared" si="52"/>
        <v>47.129102417888049</v>
      </c>
    </row>
    <row r="115" spans="1:87" x14ac:dyDescent="0.2">
      <c r="A115" s="135">
        <v>42077</v>
      </c>
      <c r="B115" s="5">
        <v>282979</v>
      </c>
      <c r="C115" s="130">
        <v>5806</v>
      </c>
      <c r="D115" s="14">
        <v>13.88</v>
      </c>
      <c r="E115" s="130">
        <v>22059</v>
      </c>
      <c r="F115" s="186">
        <v>5.1499999999999997E-2</v>
      </c>
      <c r="G115" s="165">
        <f t="shared" si="54"/>
        <v>2430</v>
      </c>
      <c r="H115" s="208">
        <v>341</v>
      </c>
      <c r="I115" s="198">
        <v>2089</v>
      </c>
      <c r="J115" s="216"/>
      <c r="K115" s="216"/>
      <c r="L115" s="216"/>
      <c r="M115" s="130">
        <v>69600</v>
      </c>
      <c r="N115" s="144">
        <v>30285</v>
      </c>
      <c r="O115" s="14">
        <v>0</v>
      </c>
      <c r="P115" s="213">
        <f t="shared" si="27"/>
        <v>5713</v>
      </c>
      <c r="Q115" s="180">
        <v>3230</v>
      </c>
      <c r="R115" s="180">
        <v>865</v>
      </c>
      <c r="S115" s="180"/>
      <c r="T115" s="159">
        <v>1618</v>
      </c>
      <c r="U115" s="159"/>
      <c r="V115" s="5">
        <v>191120</v>
      </c>
      <c r="W115" s="194"/>
      <c r="X115" s="194"/>
      <c r="Y115" s="194"/>
      <c r="Z115" s="194"/>
      <c r="AA115" s="194"/>
      <c r="AB115" s="194"/>
      <c r="AC115" s="187">
        <v>218</v>
      </c>
      <c r="AD115" s="188">
        <v>4450</v>
      </c>
      <c r="AE115" s="213">
        <f t="shared" si="28"/>
        <v>4668</v>
      </c>
      <c r="AF115" s="5">
        <v>126611</v>
      </c>
      <c r="AK115" s="233"/>
      <c r="AO115" s="15">
        <v>76103</v>
      </c>
      <c r="AP115" s="125">
        <f t="shared" si="56"/>
        <v>0.26893515066489032</v>
      </c>
      <c r="AQ115" s="125">
        <v>1.52</v>
      </c>
      <c r="AR115" s="159">
        <v>31622</v>
      </c>
      <c r="AS115" s="159">
        <v>18014</v>
      </c>
      <c r="AT115" s="159"/>
      <c r="AU115" s="101">
        <v>45583</v>
      </c>
      <c r="AV115" s="125">
        <f t="shared" si="48"/>
        <v>0.39824863329080956</v>
      </c>
      <c r="AW115" s="125">
        <f t="shared" si="29"/>
        <v>0.36156393230593081</v>
      </c>
      <c r="AX115" s="125">
        <f t="shared" si="55"/>
        <v>3.6684700984878749E-2</v>
      </c>
      <c r="AY115" s="125">
        <f t="shared" si="57"/>
        <v>0.97833950309590223</v>
      </c>
      <c r="AZ115" s="125">
        <f t="shared" si="58"/>
        <v>0.63049908297082113</v>
      </c>
      <c r="BA115" s="125">
        <f t="shared" si="59"/>
        <v>0.66664922561741313</v>
      </c>
      <c r="BB115" s="125">
        <f t="shared" si="60"/>
        <v>0.78191468316542145</v>
      </c>
      <c r="BC115" s="14">
        <f t="shared" si="43"/>
        <v>276849.53424657532</v>
      </c>
      <c r="BD115" s="14">
        <f t="shared" si="44"/>
        <v>127410</v>
      </c>
      <c r="BE115" s="14">
        <f t="shared" si="53"/>
        <v>149439.53424657535</v>
      </c>
      <c r="BF115" s="14">
        <v>31</v>
      </c>
      <c r="BG115" s="14"/>
      <c r="BH115" s="179">
        <f t="shared" si="61"/>
        <v>0</v>
      </c>
      <c r="BI115" s="179">
        <f t="shared" si="62"/>
        <v>4.4551233919006859E-2</v>
      </c>
      <c r="BJ115" s="259">
        <f t="shared" si="46"/>
        <v>0.95544876608099316</v>
      </c>
      <c r="BK115" s="14">
        <f t="shared" si="63"/>
        <v>238435</v>
      </c>
      <c r="BL115" s="14">
        <f t="shared" si="51"/>
        <v>125739</v>
      </c>
      <c r="BM115" s="262">
        <f t="shared" si="52"/>
        <v>52.735126973808377</v>
      </c>
    </row>
    <row r="116" spans="1:87" x14ac:dyDescent="0.2">
      <c r="A116" s="135">
        <v>42109</v>
      </c>
      <c r="B116" s="5">
        <v>279599</v>
      </c>
      <c r="C116" s="130">
        <v>5106</v>
      </c>
      <c r="D116" s="14">
        <v>13.64</v>
      </c>
      <c r="E116" s="130">
        <v>20964</v>
      </c>
      <c r="F116" s="186">
        <v>4.8500000000000001E-2</v>
      </c>
      <c r="G116" s="165">
        <f t="shared" si="54"/>
        <v>3586</v>
      </c>
      <c r="H116" s="208">
        <v>793</v>
      </c>
      <c r="I116" s="198">
        <v>2793</v>
      </c>
      <c r="J116" s="216"/>
      <c r="K116" s="216"/>
      <c r="L116" s="216"/>
      <c r="M116" s="130">
        <v>64304</v>
      </c>
      <c r="N116" s="144">
        <v>21871</v>
      </c>
      <c r="O116" s="14">
        <v>0</v>
      </c>
      <c r="P116" s="213">
        <f t="shared" si="27"/>
        <v>5710</v>
      </c>
      <c r="Q116" s="180">
        <v>3230</v>
      </c>
      <c r="R116" s="180">
        <v>862</v>
      </c>
      <c r="S116" s="180"/>
      <c r="T116" s="159">
        <v>1618</v>
      </c>
      <c r="U116" s="159"/>
      <c r="V116" s="5">
        <v>184881</v>
      </c>
      <c r="W116" s="194"/>
      <c r="X116" s="194"/>
      <c r="Y116" s="194"/>
      <c r="Z116" s="194"/>
      <c r="AA116" s="194"/>
      <c r="AB116" s="194"/>
      <c r="AC116" s="187">
        <v>218</v>
      </c>
      <c r="AD116" s="188">
        <v>3650</v>
      </c>
      <c r="AE116" s="213">
        <f t="shared" si="28"/>
        <v>3868</v>
      </c>
      <c r="AF116" s="5">
        <v>123139</v>
      </c>
      <c r="AK116" s="233"/>
      <c r="AO116" s="15">
        <v>89346</v>
      </c>
      <c r="AP116" s="125">
        <f t="shared" si="56"/>
        <v>0.3195504991076506</v>
      </c>
      <c r="AQ116" s="125">
        <v>1.56</v>
      </c>
      <c r="AR116" s="159">
        <v>32306</v>
      </c>
      <c r="AS116" s="159">
        <v>14069</v>
      </c>
      <c r="AT116" s="159"/>
      <c r="AU116" s="101">
        <v>45583</v>
      </c>
      <c r="AV116" s="125">
        <f t="shared" si="48"/>
        <v>0.35529097028244022</v>
      </c>
      <c r="AW116" s="125">
        <f t="shared" si="29"/>
        <v>0.3210347676493836</v>
      </c>
      <c r="AX116" s="125">
        <f t="shared" si="55"/>
        <v>3.425620263305662E-2</v>
      </c>
      <c r="AY116" s="125">
        <f t="shared" si="57"/>
        <v>0.95822554483238154</v>
      </c>
      <c r="AZ116" s="125">
        <f t="shared" si="58"/>
        <v>0.6405852667570342</v>
      </c>
      <c r="BA116" s="125">
        <f t="shared" si="59"/>
        <v>0.66691547535982609</v>
      </c>
      <c r="BB116" s="125">
        <f t="shared" si="60"/>
        <v>0.78222696820976212</v>
      </c>
      <c r="BC116" s="14">
        <f t="shared" si="43"/>
        <v>267918.90410958906</v>
      </c>
      <c r="BD116" s="14">
        <f t="shared" si="44"/>
        <v>123300</v>
      </c>
      <c r="BE116" s="14">
        <f t="shared" si="53"/>
        <v>144618.90410958903</v>
      </c>
      <c r="BF116" s="14">
        <v>30</v>
      </c>
      <c r="BG116" s="14"/>
      <c r="BH116" s="179">
        <f t="shared" si="61"/>
        <v>0</v>
      </c>
      <c r="BI116" s="179">
        <f t="shared" si="62"/>
        <v>4.2355671598491441E-2</v>
      </c>
      <c r="BJ116" s="259">
        <f t="shared" si="46"/>
        <v>0.95764432840150859</v>
      </c>
      <c r="BK116" s="14">
        <f t="shared" si="63"/>
        <v>235060</v>
      </c>
      <c r="BL116" s="14">
        <f t="shared" si="51"/>
        <v>135721</v>
      </c>
      <c r="BM116" s="262">
        <f t="shared" si="52"/>
        <v>57.738875180804904</v>
      </c>
    </row>
    <row r="117" spans="1:87" x14ac:dyDescent="0.2">
      <c r="A117" s="135">
        <v>42140</v>
      </c>
      <c r="B117" s="5">
        <v>291194</v>
      </c>
      <c r="C117" s="130">
        <v>6071</v>
      </c>
      <c r="D117" s="14">
        <v>13.75</v>
      </c>
      <c r="E117" s="130">
        <v>26490</v>
      </c>
      <c r="F117" s="186">
        <v>4.9399999999999999E-2</v>
      </c>
      <c r="G117" s="165">
        <f t="shared" si="54"/>
        <v>3254</v>
      </c>
      <c r="H117" s="208">
        <v>869</v>
      </c>
      <c r="I117" s="198">
        <v>2385</v>
      </c>
      <c r="J117" s="216"/>
      <c r="K117" s="216"/>
      <c r="L117" s="216"/>
      <c r="M117" s="130">
        <v>79191</v>
      </c>
      <c r="N117" s="144">
        <v>35571</v>
      </c>
      <c r="O117" s="14">
        <v>0</v>
      </c>
      <c r="P117" s="213">
        <f t="shared" si="27"/>
        <v>4007.2640000000001</v>
      </c>
      <c r="Q117" s="180">
        <v>1866.107</v>
      </c>
      <c r="R117" s="180">
        <v>270.29300000000001</v>
      </c>
      <c r="S117" s="180">
        <v>429.48899999999998</v>
      </c>
      <c r="T117" s="159">
        <v>1329.375</v>
      </c>
      <c r="U117" s="159">
        <v>112</v>
      </c>
      <c r="V117" s="5">
        <v>193172</v>
      </c>
      <c r="W117" s="194"/>
      <c r="X117" s="194"/>
      <c r="Y117" s="194"/>
      <c r="Z117" s="194"/>
      <c r="AA117" s="194"/>
      <c r="AB117" s="194"/>
      <c r="AC117" s="187">
        <v>218</v>
      </c>
      <c r="AD117" s="188">
        <v>3399</v>
      </c>
      <c r="AE117" s="213">
        <f t="shared" si="28"/>
        <v>3617</v>
      </c>
      <c r="AF117" s="5">
        <v>133756</v>
      </c>
      <c r="AK117" s="233"/>
      <c r="AO117" s="15">
        <v>73754</v>
      </c>
      <c r="AP117" s="125">
        <f t="shared" si="56"/>
        <v>0.25328131760956613</v>
      </c>
      <c r="AQ117" s="125">
        <v>1.58</v>
      </c>
      <c r="AR117" s="159">
        <v>31575</v>
      </c>
      <c r="AS117" s="159">
        <v>11143</v>
      </c>
      <c r="AT117" s="159"/>
      <c r="AU117" s="101">
        <v>45583</v>
      </c>
      <c r="AV117" s="125">
        <f t="shared" si="48"/>
        <v>0.43146584064232091</v>
      </c>
      <c r="AW117" s="125">
        <f t="shared" si="29"/>
        <v>0.40528307588755264</v>
      </c>
      <c r="AX117" s="125">
        <f t="shared" si="55"/>
        <v>2.6182764754768273E-2</v>
      </c>
      <c r="AY117" s="125">
        <f t="shared" si="57"/>
        <v>0.95073914382362046</v>
      </c>
      <c r="AZ117" s="125">
        <f t="shared" si="58"/>
        <v>0.65856439349711871</v>
      </c>
      <c r="BA117" s="125">
        <f t="shared" si="59"/>
        <v>0.65956763920236883</v>
      </c>
      <c r="BB117" s="125">
        <f t="shared" si="60"/>
        <v>0.77360867127003574</v>
      </c>
      <c r="BC117" s="14">
        <f t="shared" si="43"/>
        <v>276849.53424657532</v>
      </c>
      <c r="BD117" s="14">
        <f t="shared" ref="BD117:BD186" si="64">$BD$4*BF117</f>
        <v>127410</v>
      </c>
      <c r="BE117" s="14">
        <f t="shared" ref="BE117:BE186" si="65">$BE$4*BF117</f>
        <v>149439.53424657535</v>
      </c>
      <c r="BF117" s="14">
        <v>31</v>
      </c>
      <c r="BG117" s="14"/>
      <c r="BH117" s="179">
        <f t="shared" si="61"/>
        <v>0</v>
      </c>
      <c r="BI117" s="179">
        <f t="shared" si="62"/>
        <v>2.961781774454959E-2</v>
      </c>
      <c r="BJ117" s="259">
        <f t="shared" si="46"/>
        <v>0.97038218225545037</v>
      </c>
      <c r="BK117" s="14">
        <f t="shared" si="63"/>
        <v>242112.264</v>
      </c>
      <c r="BL117" s="14">
        <f t="shared" si="51"/>
        <v>116472</v>
      </c>
      <c r="BM117" s="262">
        <f t="shared" si="52"/>
        <v>48.106608924197246</v>
      </c>
    </row>
    <row r="118" spans="1:87" x14ac:dyDescent="0.2">
      <c r="A118" s="135">
        <v>42172</v>
      </c>
      <c r="B118" s="5">
        <v>284983.64899999998</v>
      </c>
      <c r="C118" s="130">
        <v>5205</v>
      </c>
      <c r="D118" s="14">
        <v>14.6</v>
      </c>
      <c r="E118" s="130">
        <v>23046.829000000002</v>
      </c>
      <c r="F118" s="186">
        <v>4.7899999999999998E-2</v>
      </c>
      <c r="G118" s="165">
        <f t="shared" si="54"/>
        <v>3311</v>
      </c>
      <c r="H118" s="208">
        <v>1150</v>
      </c>
      <c r="I118" s="198">
        <v>2161</v>
      </c>
      <c r="J118" s="216"/>
      <c r="K118" s="216"/>
      <c r="L118" s="216"/>
      <c r="M118" s="130">
        <v>50273</v>
      </c>
      <c r="N118" s="144">
        <v>70824</v>
      </c>
      <c r="O118" s="14">
        <v>0</v>
      </c>
      <c r="P118" s="213">
        <f t="shared" si="27"/>
        <v>7145.9510000000009</v>
      </c>
      <c r="Q118" s="180">
        <v>4060.3270000000002</v>
      </c>
      <c r="R118" s="180">
        <v>554.94299999999998</v>
      </c>
      <c r="S118" s="180">
        <v>794.03200000000004</v>
      </c>
      <c r="T118" s="159">
        <v>1736.6489999999999</v>
      </c>
      <c r="U118" s="159">
        <v>0</v>
      </c>
      <c r="V118" s="5">
        <v>199099</v>
      </c>
      <c r="W118" s="194"/>
      <c r="X118" s="194"/>
      <c r="Y118" s="194"/>
      <c r="Z118" s="194"/>
      <c r="AA118" s="194"/>
      <c r="AB118" s="194"/>
      <c r="AC118" s="187">
        <v>218</v>
      </c>
      <c r="AD118" s="188">
        <v>3370</v>
      </c>
      <c r="AE118" s="213">
        <f t="shared" si="28"/>
        <v>3588</v>
      </c>
      <c r="AF118" s="5">
        <v>118210</v>
      </c>
      <c r="AK118" s="233"/>
      <c r="AO118" s="15">
        <v>80646</v>
      </c>
      <c r="AP118" s="125">
        <f t="shared" si="56"/>
        <v>0.28298465642848164</v>
      </c>
      <c r="AQ118" s="125">
        <v>1.575409836</v>
      </c>
      <c r="AR118" s="159">
        <v>31653</v>
      </c>
      <c r="AS118" s="159">
        <v>11388</v>
      </c>
      <c r="AT118" s="159"/>
      <c r="AU118" s="101">
        <v>45583</v>
      </c>
      <c r="AV118" s="125">
        <f t="shared" si="48"/>
        <v>0.47420949052413885</v>
      </c>
      <c r="AW118" s="125">
        <f t="shared" si="29"/>
        <v>0.43654434363706252</v>
      </c>
      <c r="AX118" s="125">
        <f t="shared" si="55"/>
        <v>3.766514688707634E-2</v>
      </c>
      <c r="AY118" s="125">
        <f t="shared" si="57"/>
        <v>0.9401202667230536</v>
      </c>
      <c r="AZ118" s="125">
        <f t="shared" si="58"/>
        <v>0.71952900006554421</v>
      </c>
      <c r="BA118" s="125">
        <f t="shared" si="59"/>
        <v>0.61928990100402315</v>
      </c>
      <c r="BB118" s="125">
        <f t="shared" si="60"/>
        <v>0.72636680299543954</v>
      </c>
      <c r="BC118" s="14">
        <f t="shared" si="43"/>
        <v>267918.90410958906</v>
      </c>
      <c r="BD118" s="14">
        <f t="shared" si="64"/>
        <v>123300</v>
      </c>
      <c r="BE118" s="14">
        <f t="shared" si="65"/>
        <v>144618.90410958903</v>
      </c>
      <c r="BF118" s="14">
        <v>30</v>
      </c>
      <c r="BG118" s="14"/>
      <c r="BH118" s="179">
        <f t="shared" si="61"/>
        <v>0</v>
      </c>
      <c r="BI118" s="179">
        <f t="shared" si="62"/>
        <v>2.7828930526767798E-2</v>
      </c>
      <c r="BJ118" s="259">
        <f t="shared" si="46"/>
        <v>0.97217106947323217</v>
      </c>
      <c r="BK118" s="14">
        <f t="shared" si="63"/>
        <v>258828.951</v>
      </c>
      <c r="BL118" s="14">
        <f t="shared" si="51"/>
        <v>123687</v>
      </c>
      <c r="BM118" s="262">
        <f t="shared" si="52"/>
        <v>47.787158091136412</v>
      </c>
    </row>
    <row r="119" spans="1:87" x14ac:dyDescent="0.2">
      <c r="A119" s="135">
        <v>42203</v>
      </c>
      <c r="B119" s="5">
        <v>292239</v>
      </c>
      <c r="C119" s="130">
        <v>5656.8969999999999</v>
      </c>
      <c r="D119" s="14">
        <v>13.9</v>
      </c>
      <c r="E119" s="130">
        <v>23004.457999999999</v>
      </c>
      <c r="F119" s="186">
        <v>0.05</v>
      </c>
      <c r="G119" s="165">
        <f t="shared" si="54"/>
        <v>3685</v>
      </c>
      <c r="H119" s="208">
        <v>1319</v>
      </c>
      <c r="I119" s="198">
        <v>2366</v>
      </c>
      <c r="J119" s="216"/>
      <c r="K119" s="216"/>
      <c r="L119" s="216"/>
      <c r="M119" s="130">
        <v>58594</v>
      </c>
      <c r="N119" s="144">
        <v>120712</v>
      </c>
      <c r="O119" s="14">
        <v>0</v>
      </c>
      <c r="P119" s="213">
        <f t="shared" si="27"/>
        <v>8260.1769999999997</v>
      </c>
      <c r="Q119" s="180">
        <v>4822.7969999999996</v>
      </c>
      <c r="R119" s="180">
        <v>641.58000000000004</v>
      </c>
      <c r="S119" s="180">
        <v>843</v>
      </c>
      <c r="T119" s="159">
        <v>1952.8</v>
      </c>
      <c r="U119" s="159">
        <v>0</v>
      </c>
      <c r="V119" s="5">
        <v>154562</v>
      </c>
      <c r="W119" s="194"/>
      <c r="X119" s="194"/>
      <c r="Y119" s="194"/>
      <c r="Z119" s="194"/>
      <c r="AA119" s="194"/>
      <c r="AB119" s="194"/>
      <c r="AC119" s="187">
        <v>218</v>
      </c>
      <c r="AD119" s="188">
        <v>2594</v>
      </c>
      <c r="AE119" s="213">
        <f t="shared" si="28"/>
        <v>2812</v>
      </c>
      <c r="AF119" s="5">
        <v>116880</v>
      </c>
      <c r="AK119" s="233"/>
      <c r="AO119" s="15">
        <v>8716</v>
      </c>
      <c r="AP119" s="125">
        <f t="shared" si="56"/>
        <v>2.9824903589185565E-2</v>
      </c>
      <c r="AQ119" s="125">
        <v>1.5761666670000001</v>
      </c>
      <c r="AR119" s="159">
        <v>29210</v>
      </c>
      <c r="AS119" s="159">
        <v>12625</v>
      </c>
      <c r="AT119" s="159"/>
      <c r="AU119" s="101">
        <v>45583</v>
      </c>
      <c r="AV119" s="125">
        <f t="shared" si="48"/>
        <v>0.66405639562139207</v>
      </c>
      <c r="AW119" s="125">
        <f t="shared" si="29"/>
        <v>0.62616899181834051</v>
      </c>
      <c r="AX119" s="125">
        <f t="shared" si="55"/>
        <v>3.7887403803051556E-2</v>
      </c>
      <c r="AY119" s="125">
        <f t="shared" si="57"/>
        <v>0.94733945245697981</v>
      </c>
      <c r="AZ119" s="125">
        <f t="shared" si="58"/>
        <v>0.65599389540752606</v>
      </c>
      <c r="BA119" s="125">
        <f t="shared" si="59"/>
        <v>0.82432939532355953</v>
      </c>
      <c r="BB119" s="125">
        <f t="shared" si="60"/>
        <v>0.96685818148429337</v>
      </c>
      <c r="BC119" s="14">
        <f t="shared" si="43"/>
        <v>276849.53424657532</v>
      </c>
      <c r="BD119" s="14">
        <f t="shared" si="64"/>
        <v>127410</v>
      </c>
      <c r="BE119" s="14">
        <f t="shared" si="65"/>
        <v>149439.53424657535</v>
      </c>
      <c r="BF119" s="14">
        <v>31</v>
      </c>
      <c r="BG119" s="14"/>
      <c r="BH119" s="179">
        <f t="shared" si="61"/>
        <v>0</v>
      </c>
      <c r="BI119" s="179">
        <f t="shared" si="62"/>
        <v>1.4466889005387439E-2</v>
      </c>
      <c r="BJ119" s="259">
        <f t="shared" si="46"/>
        <v>0.9855331109946126</v>
      </c>
      <c r="BK119" s="14">
        <f t="shared" si="63"/>
        <v>244614.177</v>
      </c>
      <c r="BL119" s="14">
        <f t="shared" si="51"/>
        <v>50551</v>
      </c>
      <c r="BM119" s="262">
        <f t="shared" si="52"/>
        <v>20.665605166457706</v>
      </c>
    </row>
    <row r="120" spans="1:87" x14ac:dyDescent="0.2">
      <c r="A120" s="135">
        <v>42235</v>
      </c>
      <c r="B120" s="5">
        <v>260136.41500000001</v>
      </c>
      <c r="C120" s="130">
        <v>4622.38</v>
      </c>
      <c r="D120" s="14">
        <v>13.43</v>
      </c>
      <c r="E120" s="130">
        <v>23015.94</v>
      </c>
      <c r="F120" s="186">
        <v>4.82E-2</v>
      </c>
      <c r="G120" s="165">
        <f t="shared" si="54"/>
        <v>3473</v>
      </c>
      <c r="H120" s="208">
        <v>1157</v>
      </c>
      <c r="I120" s="198">
        <v>2316</v>
      </c>
      <c r="J120" s="216"/>
      <c r="K120" s="216"/>
      <c r="L120" s="216"/>
      <c r="M120" s="130">
        <v>65860</v>
      </c>
      <c r="N120" s="144">
        <v>101447</v>
      </c>
      <c r="O120" s="14">
        <v>0</v>
      </c>
      <c r="P120" s="213">
        <f t="shared" si="27"/>
        <v>6975.14</v>
      </c>
      <c r="Q120" s="180">
        <v>3952.8040000000001</v>
      </c>
      <c r="R120" s="180">
        <v>519.35</v>
      </c>
      <c r="S120" s="180">
        <v>763.75</v>
      </c>
      <c r="T120" s="159">
        <v>1739.2360000000001</v>
      </c>
      <c r="U120" s="159">
        <v>0</v>
      </c>
      <c r="V120" s="5">
        <v>183709</v>
      </c>
      <c r="W120" s="194"/>
      <c r="X120" s="194"/>
      <c r="Y120" s="194"/>
      <c r="Z120" s="194"/>
      <c r="AA120" s="194"/>
      <c r="AB120" s="194"/>
      <c r="AC120" s="187">
        <v>218</v>
      </c>
      <c r="AD120" s="188">
        <v>2525</v>
      </c>
      <c r="AE120" s="213">
        <f t="shared" si="28"/>
        <v>2743</v>
      </c>
      <c r="AF120" s="5">
        <v>110086</v>
      </c>
      <c r="AK120" s="233"/>
      <c r="AO120" s="15">
        <v>11861</v>
      </c>
      <c r="AP120" s="125">
        <f t="shared" si="56"/>
        <v>4.5595308138616425E-2</v>
      </c>
      <c r="AQ120" s="125">
        <v>1.5240983610000001</v>
      </c>
      <c r="AR120" s="159">
        <v>31303</v>
      </c>
      <c r="AS120" s="159">
        <v>12978</v>
      </c>
      <c r="AT120" s="159"/>
      <c r="AU120" s="101">
        <v>45583</v>
      </c>
      <c r="AV120" s="125">
        <f t="shared" si="48"/>
        <v>0.69385956595119525</v>
      </c>
      <c r="AW120" s="125">
        <f t="shared" si="29"/>
        <v>0.65650170507654604</v>
      </c>
      <c r="AX120" s="125">
        <f t="shared" si="55"/>
        <v>3.7357860874649207E-2</v>
      </c>
      <c r="AY120" s="125">
        <f t="shared" si="57"/>
        <v>1.064247518928003</v>
      </c>
      <c r="AZ120" s="125">
        <f t="shared" si="58"/>
        <v>0.70209701321516249</v>
      </c>
      <c r="BA120" s="125">
        <f t="shared" si="59"/>
        <v>0.69354250472214207</v>
      </c>
      <c r="BB120" s="125">
        <f t="shared" si="60"/>
        <v>0.81345788310085709</v>
      </c>
      <c r="BC120" s="14">
        <f t="shared" si="43"/>
        <v>276849.53424657532</v>
      </c>
      <c r="BD120" s="14">
        <f t="shared" si="64"/>
        <v>127410</v>
      </c>
      <c r="BE120" s="14">
        <f t="shared" si="65"/>
        <v>149439.53424657535</v>
      </c>
      <c r="BF120" s="14">
        <v>31</v>
      </c>
      <c r="BG120" s="14"/>
      <c r="BH120" s="179">
        <f t="shared" si="61"/>
        <v>0</v>
      </c>
      <c r="BI120" s="179">
        <f t="shared" si="62"/>
        <v>1.5092016472711842E-2</v>
      </c>
      <c r="BJ120" s="259">
        <f t="shared" si="46"/>
        <v>0.98490798352728814</v>
      </c>
      <c r="BK120" s="14">
        <f t="shared" si="63"/>
        <v>236640.14</v>
      </c>
      <c r="BL120" s="14">
        <f t="shared" si="51"/>
        <v>56142</v>
      </c>
      <c r="BM120" s="262">
        <f t="shared" si="52"/>
        <v>23.724630994555699</v>
      </c>
    </row>
    <row r="121" spans="1:87" x14ac:dyDescent="0.2">
      <c r="A121" s="135">
        <v>42267</v>
      </c>
      <c r="B121" s="5">
        <v>269565.78279999999</v>
      </c>
      <c r="C121" s="130">
        <v>6083.66</v>
      </c>
      <c r="D121" s="14">
        <v>13.24</v>
      </c>
      <c r="E121" s="130">
        <v>22841.661</v>
      </c>
      <c r="F121" s="186">
        <v>4.3299999999999998E-2</v>
      </c>
      <c r="G121" s="165">
        <f t="shared" si="54"/>
        <v>3679</v>
      </c>
      <c r="H121" s="208">
        <v>1141</v>
      </c>
      <c r="I121" s="198">
        <v>2538</v>
      </c>
      <c r="J121" s="216"/>
      <c r="K121" s="216"/>
      <c r="L121" s="216"/>
      <c r="M121" s="130">
        <v>40755</v>
      </c>
      <c r="N121" s="144">
        <v>50188</v>
      </c>
      <c r="O121" s="14">
        <v>0</v>
      </c>
      <c r="P121" s="213">
        <f t="shared" si="27"/>
        <v>8105.3970000000008</v>
      </c>
      <c r="Q121" s="180">
        <v>4241.8270000000002</v>
      </c>
      <c r="R121" s="180">
        <v>562.827</v>
      </c>
      <c r="S121" s="180">
        <v>994</v>
      </c>
      <c r="T121" s="159">
        <v>2306.7429999999999</v>
      </c>
      <c r="U121" s="159">
        <v>0</v>
      </c>
      <c r="V121" s="5">
        <v>184448</v>
      </c>
      <c r="W121" s="194"/>
      <c r="X121" s="194"/>
      <c r="Y121" s="194"/>
      <c r="Z121" s="194"/>
      <c r="AA121" s="194"/>
      <c r="AB121" s="194"/>
      <c r="AC121" s="187">
        <v>218</v>
      </c>
      <c r="AD121" s="188">
        <v>2701</v>
      </c>
      <c r="AE121" s="213">
        <f t="shared" si="28"/>
        <v>2919</v>
      </c>
      <c r="AF121" s="5">
        <v>123657</v>
      </c>
      <c r="AK121" s="233"/>
      <c r="AO121" s="15">
        <v>29055</v>
      </c>
      <c r="AP121" s="125">
        <f t="shared" si="56"/>
        <v>0.10778445134320661</v>
      </c>
      <c r="AQ121" s="125">
        <v>1.5154237290000001</v>
      </c>
      <c r="AR121" s="159">
        <v>29055</v>
      </c>
      <c r="AS121" s="159">
        <v>14280</v>
      </c>
      <c r="AT121" s="159"/>
      <c r="AU121" s="101">
        <v>45583</v>
      </c>
      <c r="AV121" s="125">
        <f t="shared" si="48"/>
        <v>0.39191323135541517</v>
      </c>
      <c r="AW121" s="125">
        <f t="shared" si="29"/>
        <v>0.35101636052303892</v>
      </c>
      <c r="AX121" s="125">
        <f t="shared" si="55"/>
        <v>4.0896870832376253E-2</v>
      </c>
      <c r="AY121" s="125">
        <f t="shared" si="57"/>
        <v>0.99389062412408324</v>
      </c>
      <c r="AZ121" s="125">
        <f t="shared" si="58"/>
        <v>0.45880081186624555</v>
      </c>
      <c r="BA121" s="125">
        <f t="shared" si="59"/>
        <v>0.66848108952116581</v>
      </c>
      <c r="BB121" s="125">
        <f t="shared" si="60"/>
        <v>0.78406328130198766</v>
      </c>
      <c r="BC121" s="14">
        <f t="shared" si="43"/>
        <v>267918.90410958906</v>
      </c>
      <c r="BD121" s="14">
        <f t="shared" si="64"/>
        <v>123300</v>
      </c>
      <c r="BE121" s="14">
        <f t="shared" si="65"/>
        <v>144618.90410958903</v>
      </c>
      <c r="BF121" s="14">
        <v>30</v>
      </c>
      <c r="BG121" s="14"/>
      <c r="BH121" s="179">
        <f t="shared" si="61"/>
        <v>0</v>
      </c>
      <c r="BI121" s="179">
        <f t="shared" si="62"/>
        <v>2.9699921929120437E-2</v>
      </c>
      <c r="BJ121" s="259">
        <f t="shared" si="46"/>
        <v>0.97030007807087959</v>
      </c>
      <c r="BK121" s="14">
        <f t="shared" si="63"/>
        <v>178036.397</v>
      </c>
      <c r="BL121" s="14">
        <f t="shared" si="51"/>
        <v>72390</v>
      </c>
      <c r="BM121" s="262">
        <f t="shared" si="52"/>
        <v>40.66022522349742</v>
      </c>
    </row>
    <row r="122" spans="1:87" x14ac:dyDescent="0.2">
      <c r="A122" s="135">
        <v>42298</v>
      </c>
      <c r="B122" s="5">
        <v>280088.26199999999</v>
      </c>
      <c r="C122" s="130">
        <v>6041.63</v>
      </c>
      <c r="D122" s="14">
        <v>12.85</v>
      </c>
      <c r="E122" s="130">
        <v>25745.249</v>
      </c>
      <c r="F122" s="186">
        <v>4.9099999999999998E-2</v>
      </c>
      <c r="G122" s="165">
        <f t="shared" si="54"/>
        <v>3242</v>
      </c>
      <c r="H122" s="208">
        <v>814</v>
      </c>
      <c r="I122" s="198">
        <v>2428</v>
      </c>
      <c r="J122" s="216"/>
      <c r="K122" s="216"/>
      <c r="L122" s="216"/>
      <c r="M122" s="130">
        <v>88276</v>
      </c>
      <c r="N122" s="144">
        <v>35054</v>
      </c>
      <c r="O122" s="14">
        <v>0</v>
      </c>
      <c r="P122" s="213">
        <f t="shared" si="27"/>
        <v>9552.128999999999</v>
      </c>
      <c r="Q122" s="180">
        <v>5234.3980000000001</v>
      </c>
      <c r="R122" s="180">
        <v>593.49300000000005</v>
      </c>
      <c r="S122" s="180">
        <v>640.85299999999995</v>
      </c>
      <c r="T122" s="159">
        <v>2779.558</v>
      </c>
      <c r="U122" s="159">
        <v>303.827</v>
      </c>
      <c r="V122" s="5">
        <v>210780</v>
      </c>
      <c r="W122" s="194"/>
      <c r="X122" s="194"/>
      <c r="Y122" s="194"/>
      <c r="Z122" s="194"/>
      <c r="AA122" s="194"/>
      <c r="AB122" s="194"/>
      <c r="AC122" s="187">
        <v>218</v>
      </c>
      <c r="AD122" s="188">
        <v>2507</v>
      </c>
      <c r="AE122" s="213">
        <f t="shared" si="28"/>
        <v>2725</v>
      </c>
      <c r="AF122" s="5">
        <v>115194</v>
      </c>
      <c r="AK122" s="233"/>
      <c r="AO122" s="15">
        <v>29055</v>
      </c>
      <c r="AP122" s="125">
        <f t="shared" si="56"/>
        <v>0.10373515759828593</v>
      </c>
      <c r="AQ122" s="125">
        <v>1.667741935</v>
      </c>
      <c r="AR122" s="159">
        <v>28279</v>
      </c>
      <c r="AS122" s="159">
        <v>14083</v>
      </c>
      <c r="AT122" s="159"/>
      <c r="AU122" s="101">
        <v>45583</v>
      </c>
      <c r="AV122" s="125">
        <f t="shared" si="48"/>
        <v>0.49573348061262201</v>
      </c>
      <c r="AW122" s="125">
        <f t="shared" si="29"/>
        <v>0.45190040845053336</v>
      </c>
      <c r="AX122" s="125">
        <f t="shared" si="55"/>
        <v>4.3833072162088649E-2</v>
      </c>
      <c r="AY122" s="125">
        <f t="shared" si="57"/>
        <v>0.98843676014732573</v>
      </c>
      <c r="AZ122" s="125">
        <f t="shared" si="58"/>
        <v>0.55563556604881925</v>
      </c>
      <c r="BA122" s="125">
        <f t="shared" si="59"/>
        <v>0.60446911471676634</v>
      </c>
      <c r="BB122" s="125">
        <f t="shared" si="60"/>
        <v>0.70898346259880141</v>
      </c>
      <c r="BC122" s="14">
        <f t="shared" si="43"/>
        <v>276849.53424657532</v>
      </c>
      <c r="BD122" s="14">
        <f t="shared" si="64"/>
        <v>127410</v>
      </c>
      <c r="BE122" s="14">
        <f t="shared" si="65"/>
        <v>149439.53424657535</v>
      </c>
      <c r="BF122" s="14">
        <v>31</v>
      </c>
      <c r="BG122" s="14"/>
      <c r="BH122" s="179">
        <f t="shared" si="61"/>
        <v>0</v>
      </c>
      <c r="BI122" s="179">
        <f t="shared" si="62"/>
        <v>2.0327576420984352E-2</v>
      </c>
      <c r="BJ122" s="259">
        <f t="shared" si="46"/>
        <v>0.97967242357901563</v>
      </c>
      <c r="BK122" s="14">
        <f t="shared" si="63"/>
        <v>210266.12899999999</v>
      </c>
      <c r="BL122" s="14">
        <f t="shared" si="51"/>
        <v>71417</v>
      </c>
      <c r="BM122" s="262">
        <f t="shared" si="52"/>
        <v>33.965051974681096</v>
      </c>
    </row>
    <row r="123" spans="1:87" x14ac:dyDescent="0.2">
      <c r="A123" s="135">
        <v>42330</v>
      </c>
      <c r="B123" s="5">
        <v>293327.41200000001</v>
      </c>
      <c r="C123" s="130">
        <v>6610</v>
      </c>
      <c r="D123" s="14">
        <v>13</v>
      </c>
      <c r="E123" s="130">
        <v>27048</v>
      </c>
      <c r="F123" s="186">
        <v>5.2900000000000003E-2</v>
      </c>
      <c r="G123" s="165">
        <f t="shared" si="54"/>
        <v>3170</v>
      </c>
      <c r="H123" s="208">
        <v>726</v>
      </c>
      <c r="I123" s="198">
        <v>2444</v>
      </c>
      <c r="J123" s="216"/>
      <c r="K123" s="216"/>
      <c r="L123" s="216"/>
      <c r="M123" s="130">
        <v>108810</v>
      </c>
      <c r="N123" s="144">
        <v>45976</v>
      </c>
      <c r="O123" s="14">
        <v>0</v>
      </c>
      <c r="P123" s="213">
        <f t="shared" si="27"/>
        <v>12290.123</v>
      </c>
      <c r="Q123" s="180">
        <v>7594.5540000000001</v>
      </c>
      <c r="R123" s="180">
        <v>504.74299999999999</v>
      </c>
      <c r="S123" s="180">
        <v>1416.961</v>
      </c>
      <c r="T123" s="159">
        <v>2212.7539999999999</v>
      </c>
      <c r="U123" s="159">
        <v>561.11099999999999</v>
      </c>
      <c r="V123" s="5">
        <v>220741</v>
      </c>
      <c r="W123" s="194"/>
      <c r="X123" s="194"/>
      <c r="Y123" s="194"/>
      <c r="Z123" s="194"/>
      <c r="AA123" s="194"/>
      <c r="AB123" s="194"/>
      <c r="AC123" s="187">
        <v>218</v>
      </c>
      <c r="AD123" s="188">
        <v>2301</v>
      </c>
      <c r="AE123" s="213">
        <f t="shared" si="28"/>
        <v>2519</v>
      </c>
      <c r="AF123" s="5">
        <v>128969</v>
      </c>
      <c r="AK123" s="233"/>
      <c r="AO123" s="15">
        <v>9316</v>
      </c>
      <c r="AP123" s="125">
        <f t="shared" si="56"/>
        <v>3.1759732022590512E-2</v>
      </c>
      <c r="AQ123" s="125">
        <v>1.61</v>
      </c>
      <c r="AR123" s="159">
        <v>30640</v>
      </c>
      <c r="AS123" s="159">
        <v>11482</v>
      </c>
      <c r="AT123" s="159"/>
      <c r="AU123" s="101">
        <v>45583</v>
      </c>
      <c r="AV123" s="125">
        <f t="shared" si="48"/>
        <v>0.5889838996704474</v>
      </c>
      <c r="AW123" s="125">
        <f t="shared" si="29"/>
        <v>0.53849723393734505</v>
      </c>
      <c r="AX123" s="125">
        <f t="shared" si="55"/>
        <v>5.0486665733102343E-2</v>
      </c>
      <c r="AY123" s="125">
        <f t="shared" si="57"/>
        <v>0.91337833816087066</v>
      </c>
      <c r="AZ123" s="125">
        <f t="shared" si="58"/>
        <v>0.57025696595993558</v>
      </c>
      <c r="BA123" s="125">
        <f t="shared" si="59"/>
        <v>0.55857316946104263</v>
      </c>
      <c r="BB123" s="125">
        <f t="shared" si="60"/>
        <v>0.65515198404278785</v>
      </c>
      <c r="BC123" s="14">
        <f t="shared" si="43"/>
        <v>267918.90410958906</v>
      </c>
      <c r="BD123" s="14">
        <f t="shared" si="64"/>
        <v>123300</v>
      </c>
      <c r="BE123" s="14">
        <f t="shared" si="65"/>
        <v>144618.90410958903</v>
      </c>
      <c r="BF123" s="14">
        <v>30</v>
      </c>
      <c r="BG123" s="14"/>
      <c r="BH123" s="179">
        <f t="shared" si="61"/>
        <v>0</v>
      </c>
      <c r="BI123" s="179">
        <f t="shared" si="62"/>
        <v>1.4865685527114855E-2</v>
      </c>
      <c r="BJ123" s="259">
        <f t="shared" si="46"/>
        <v>0.98513431447288513</v>
      </c>
      <c r="BK123" s="14">
        <f t="shared" si="63"/>
        <v>224203.12299999999</v>
      </c>
      <c r="BL123" s="14">
        <f t="shared" si="51"/>
        <v>51438</v>
      </c>
      <c r="BM123" s="262">
        <f t="shared" si="52"/>
        <v>22.942588538340743</v>
      </c>
    </row>
    <row r="124" spans="1:87" x14ac:dyDescent="0.2">
      <c r="A124" s="135">
        <v>42361</v>
      </c>
      <c r="B124" s="5">
        <v>273062.592</v>
      </c>
      <c r="C124" s="130">
        <v>4844.47</v>
      </c>
      <c r="D124" s="14">
        <v>13.33</v>
      </c>
      <c r="E124" s="130">
        <v>20645.524000000001</v>
      </c>
      <c r="F124" s="186">
        <v>5.9799999999999999E-2</v>
      </c>
      <c r="G124" s="165">
        <f t="shared" si="54"/>
        <v>2613</v>
      </c>
      <c r="H124" s="208">
        <v>562</v>
      </c>
      <c r="I124" s="198">
        <v>2051</v>
      </c>
      <c r="J124" s="216"/>
      <c r="K124" s="216"/>
      <c r="L124" s="216"/>
      <c r="M124" s="130">
        <v>107824</v>
      </c>
      <c r="N124" s="144">
        <v>76712</v>
      </c>
      <c r="O124" s="14">
        <v>0</v>
      </c>
      <c r="P124" s="213">
        <f t="shared" si="27"/>
        <v>8953.6329999999998</v>
      </c>
      <c r="Q124" s="180">
        <v>5276.4340000000002</v>
      </c>
      <c r="R124" s="180">
        <v>587.18499999999995</v>
      </c>
      <c r="S124" s="180">
        <v>1090.5519999999999</v>
      </c>
      <c r="T124" s="159">
        <v>1745.768</v>
      </c>
      <c r="U124" s="159">
        <v>253.69399999999999</v>
      </c>
      <c r="V124" s="5">
        <v>149563</v>
      </c>
      <c r="W124" s="194"/>
      <c r="X124" s="194"/>
      <c r="Y124" s="194"/>
      <c r="Z124" s="194"/>
      <c r="AA124" s="194"/>
      <c r="AB124" s="194"/>
      <c r="AC124" s="187">
        <v>218</v>
      </c>
      <c r="AD124" s="188">
        <v>2623</v>
      </c>
      <c r="AE124" s="213">
        <f t="shared" si="28"/>
        <v>2841</v>
      </c>
      <c r="AF124" s="5">
        <v>92587</v>
      </c>
      <c r="AK124" s="233"/>
      <c r="AO124" s="15">
        <v>54897</v>
      </c>
      <c r="AP124" s="125">
        <f t="shared" si="56"/>
        <v>0.20104181828025713</v>
      </c>
      <c r="AQ124" s="125">
        <v>1.4787096769999999</v>
      </c>
      <c r="AR124" s="159">
        <v>23557</v>
      </c>
      <c r="AS124" s="159">
        <v>9038</v>
      </c>
      <c r="AT124" s="159"/>
      <c r="AU124" s="101">
        <v>45583</v>
      </c>
      <c r="AV124" s="125">
        <f t="shared" si="48"/>
        <v>0.72856421505000579</v>
      </c>
      <c r="AW124" s="125">
        <f t="shared" si="29"/>
        <v>0.68537033443233408</v>
      </c>
      <c r="AX124" s="125">
        <f t="shared" si="55"/>
        <v>4.3193880617671709E-2</v>
      </c>
      <c r="AY124" s="125">
        <f t="shared" si="57"/>
        <v>1.0138684036463528</v>
      </c>
      <c r="AZ124" s="125">
        <f t="shared" si="58"/>
        <v>0.88641215271259122</v>
      </c>
      <c r="BA124" s="125">
        <f t="shared" si="59"/>
        <v>0.85188181568970933</v>
      </c>
      <c r="BB124" s="125">
        <f t="shared" si="60"/>
        <v>0.99917448999134373</v>
      </c>
      <c r="BC124" s="14">
        <f t="shared" si="43"/>
        <v>276849.53424657532</v>
      </c>
      <c r="BD124" s="14">
        <f t="shared" si="64"/>
        <v>127410</v>
      </c>
      <c r="BE124" s="14">
        <f t="shared" si="65"/>
        <v>149439.53424657535</v>
      </c>
      <c r="BF124" s="14">
        <v>31</v>
      </c>
      <c r="BG124" s="14"/>
      <c r="BH124" s="179">
        <f t="shared" si="61"/>
        <v>0</v>
      </c>
      <c r="BI124" s="179">
        <f t="shared" si="62"/>
        <v>1.4214028699007239E-2</v>
      </c>
      <c r="BJ124" s="259">
        <f t="shared" si="46"/>
        <v>0.98578597130099277</v>
      </c>
      <c r="BK124" s="14">
        <f t="shared" si="63"/>
        <v>286435.63300000003</v>
      </c>
      <c r="BL124" s="14">
        <f t="shared" si="51"/>
        <v>87492</v>
      </c>
      <c r="BM124" s="262">
        <f t="shared" si="52"/>
        <v>30.545082357124191</v>
      </c>
    </row>
    <row r="125" spans="1:87" x14ac:dyDescent="0.2">
      <c r="A125" s="135">
        <v>42400</v>
      </c>
      <c r="B125" s="5">
        <v>309408.88</v>
      </c>
      <c r="C125" s="130">
        <v>5706.97</v>
      </c>
      <c r="D125" s="14">
        <v>13.52</v>
      </c>
      <c r="E125" s="130">
        <v>26233.625</v>
      </c>
      <c r="F125" s="186">
        <v>4.8399999999999999E-2</v>
      </c>
      <c r="G125" s="165">
        <f t="shared" si="54"/>
        <v>2391</v>
      </c>
      <c r="H125" s="208">
        <v>1017</v>
      </c>
      <c r="I125" s="198">
        <v>1374</v>
      </c>
      <c r="J125" s="216"/>
      <c r="K125" s="216"/>
      <c r="L125" s="216"/>
      <c r="M125" s="130">
        <v>111543</v>
      </c>
      <c r="N125" s="144">
        <v>83718</v>
      </c>
      <c r="O125" s="14">
        <v>0</v>
      </c>
      <c r="P125" s="213">
        <f t="shared" si="27"/>
        <v>6624.8180000000002</v>
      </c>
      <c r="Q125" s="180">
        <v>1953.991</v>
      </c>
      <c r="R125" s="180">
        <v>544.85699999999997</v>
      </c>
      <c r="S125" s="180">
        <v>1296</v>
      </c>
      <c r="T125" s="159">
        <v>2348.46</v>
      </c>
      <c r="U125" s="159">
        <v>481.51</v>
      </c>
      <c r="V125" s="5">
        <v>128456</v>
      </c>
      <c r="W125" s="194"/>
      <c r="X125" s="194"/>
      <c r="Y125" s="194"/>
      <c r="Z125" s="194"/>
      <c r="AA125" s="194"/>
      <c r="AB125" s="194"/>
      <c r="AC125" s="187">
        <v>218</v>
      </c>
      <c r="AD125" s="188">
        <v>3263</v>
      </c>
      <c r="AE125" s="213">
        <f t="shared" si="28"/>
        <v>3481</v>
      </c>
      <c r="AF125" s="5">
        <v>98603</v>
      </c>
      <c r="AK125" s="233"/>
      <c r="AO125" s="15">
        <v>58125</v>
      </c>
      <c r="AP125" s="125">
        <f t="shared" si="56"/>
        <v>0.18785821531689717</v>
      </c>
      <c r="AQ125" s="125">
        <v>1.45</v>
      </c>
      <c r="AR125" s="159">
        <v>29556</v>
      </c>
      <c r="AS125" s="159">
        <v>11370</v>
      </c>
      <c r="AT125" s="159"/>
      <c r="AU125" s="101">
        <v>45583</v>
      </c>
      <c r="AV125" s="125">
        <f t="shared" si="48"/>
        <v>0.67146688873312232</v>
      </c>
      <c r="AW125" s="125">
        <f t="shared" si="29"/>
        <v>0.63880519524843626</v>
      </c>
      <c r="AX125" s="125">
        <f t="shared" si="55"/>
        <v>3.2661693484686061E-2</v>
      </c>
      <c r="AY125" s="125">
        <f t="shared" si="57"/>
        <v>0.89476919423442314</v>
      </c>
      <c r="AZ125" s="125">
        <f t="shared" si="58"/>
        <v>0.82666341056533343</v>
      </c>
      <c r="BA125" s="125">
        <f t="shared" si="59"/>
        <v>0.99185713396026653</v>
      </c>
      <c r="BB125" s="125">
        <f t="shared" si="60"/>
        <v>1.1633519200860634</v>
      </c>
      <c r="BC125" s="14">
        <f t="shared" si="43"/>
        <v>276849.53424657532</v>
      </c>
      <c r="BD125" s="14">
        <f t="shared" si="64"/>
        <v>127410</v>
      </c>
      <c r="BE125" s="14">
        <f t="shared" si="65"/>
        <v>149439.53424657535</v>
      </c>
      <c r="BF125" s="14">
        <v>31</v>
      </c>
      <c r="BG125" s="14"/>
      <c r="BH125" s="179">
        <f t="shared" si="61"/>
        <v>0</v>
      </c>
      <c r="BI125" s="179">
        <f t="shared" si="62"/>
        <v>1.6710966347606538E-2</v>
      </c>
      <c r="BJ125" s="259">
        <f t="shared" si="46"/>
        <v>0.98328903365239351</v>
      </c>
      <c r="BK125" s="14">
        <f t="shared" si="63"/>
        <v>306808.81799999997</v>
      </c>
      <c r="BL125" s="14">
        <f t="shared" si="51"/>
        <v>99051</v>
      </c>
      <c r="BM125" s="262">
        <f t="shared" si="52"/>
        <v>32.28427417623962</v>
      </c>
    </row>
    <row r="126" spans="1:87" x14ac:dyDescent="0.2">
      <c r="A126" s="135">
        <v>42402</v>
      </c>
      <c r="B126" s="5">
        <v>264989.27</v>
      </c>
      <c r="C126" s="130">
        <v>5047.4440000000004</v>
      </c>
      <c r="D126" s="14">
        <v>13.35</v>
      </c>
      <c r="E126" s="130">
        <v>23322.978999999999</v>
      </c>
      <c r="F126" s="186">
        <v>5.6000000000000001E-2</v>
      </c>
      <c r="G126" s="165">
        <f t="shared" si="54"/>
        <v>3372</v>
      </c>
      <c r="H126" s="208">
        <v>1114</v>
      </c>
      <c r="I126" s="198">
        <v>2258</v>
      </c>
      <c r="J126" s="216"/>
      <c r="K126" s="216"/>
      <c r="L126" s="216"/>
      <c r="M126" s="130">
        <v>82077</v>
      </c>
      <c r="N126" s="144">
        <v>79986</v>
      </c>
      <c r="O126" s="14">
        <v>0</v>
      </c>
      <c r="P126" s="213">
        <f t="shared" si="27"/>
        <v>6022.0929999999989</v>
      </c>
      <c r="Q126" s="180">
        <v>2814.0039999999999</v>
      </c>
      <c r="R126" s="180">
        <v>494.298</v>
      </c>
      <c r="S126" s="180">
        <v>251.16200000000001</v>
      </c>
      <c r="T126" s="159">
        <v>2462.6289999999999</v>
      </c>
      <c r="U126" s="159">
        <v>0</v>
      </c>
      <c r="V126" s="5">
        <v>229707</v>
      </c>
      <c r="W126" s="194"/>
      <c r="X126" s="194"/>
      <c r="Y126" s="194"/>
      <c r="Z126" s="194"/>
      <c r="AA126" s="194"/>
      <c r="AB126" s="194"/>
      <c r="AC126" s="187">
        <v>218</v>
      </c>
      <c r="AD126" s="188">
        <v>2706</v>
      </c>
      <c r="AE126" s="213">
        <f t="shared" si="28"/>
        <v>2924</v>
      </c>
      <c r="AF126" s="5">
        <v>118306</v>
      </c>
      <c r="AK126" s="233"/>
      <c r="AO126" s="15">
        <v>64367</v>
      </c>
      <c r="AP126" s="125">
        <f t="shared" si="56"/>
        <v>0.24290417495017816</v>
      </c>
      <c r="AQ126" s="125">
        <v>1.5746551719999999</v>
      </c>
      <c r="AR126" s="159">
        <v>27868</v>
      </c>
      <c r="AS126" s="159">
        <v>10742</v>
      </c>
      <c r="AT126" s="159"/>
      <c r="AU126" s="101">
        <v>45583</v>
      </c>
      <c r="AV126" s="125">
        <f t="shared" si="48"/>
        <v>0.65806850594365573</v>
      </c>
      <c r="AW126" s="125">
        <f t="shared" si="29"/>
        <v>0.62430829746427086</v>
      </c>
      <c r="AX126" s="125">
        <f t="shared" si="55"/>
        <v>3.3760208479384879E-2</v>
      </c>
      <c r="AY126" s="125">
        <f t="shared" si="57"/>
        <v>0.9773538150152371</v>
      </c>
      <c r="AZ126" s="125">
        <f t="shared" si="58"/>
        <v>0.86721247241444899</v>
      </c>
      <c r="BA126" s="125">
        <f t="shared" si="59"/>
        <v>0.51887839726259977</v>
      </c>
      <c r="BB126" s="125">
        <f t="shared" si="60"/>
        <v>0.60859387816915778</v>
      </c>
      <c r="BC126" s="14">
        <f t="shared" si="43"/>
        <v>258988.27397260274</v>
      </c>
      <c r="BD126" s="14">
        <f t="shared" si="64"/>
        <v>119190</v>
      </c>
      <c r="BE126" s="14">
        <f t="shared" si="65"/>
        <v>139798.27397260274</v>
      </c>
      <c r="BF126" s="14">
        <v>29</v>
      </c>
      <c r="BG126" s="14"/>
      <c r="BH126" s="179">
        <f t="shared" si="61"/>
        <v>0</v>
      </c>
      <c r="BI126" s="179">
        <f t="shared" si="62"/>
        <v>1.6697210344125434E-2</v>
      </c>
      <c r="BJ126" s="259">
        <f t="shared" si="46"/>
        <v>0.98330278965587459</v>
      </c>
      <c r="BK126" s="14">
        <f t="shared" si="63"/>
        <v>277358.09299999999</v>
      </c>
      <c r="BL126" s="14">
        <f t="shared" si="51"/>
        <v>102977</v>
      </c>
      <c r="BM126" s="262">
        <f t="shared" si="52"/>
        <v>37.127815123822622</v>
      </c>
    </row>
    <row r="127" spans="1:87" x14ac:dyDescent="0.2">
      <c r="A127" s="135">
        <v>42432</v>
      </c>
      <c r="B127" s="5">
        <v>285838</v>
      </c>
      <c r="C127" s="130">
        <v>6534</v>
      </c>
      <c r="D127" s="14">
        <v>13.88</v>
      </c>
      <c r="E127" s="130">
        <v>25364</v>
      </c>
      <c r="F127" s="186">
        <v>6.4399999999999999E-2</v>
      </c>
      <c r="G127" s="165">
        <f t="shared" si="54"/>
        <v>4025</v>
      </c>
      <c r="H127" s="208">
        <v>1052</v>
      </c>
      <c r="I127" s="198">
        <v>2973</v>
      </c>
      <c r="J127" s="216"/>
      <c r="K127" s="216"/>
      <c r="L127" s="216"/>
      <c r="M127" s="130">
        <v>70646</v>
      </c>
      <c r="N127" s="144">
        <v>11443</v>
      </c>
      <c r="O127" s="14">
        <v>0</v>
      </c>
      <c r="P127" s="213">
        <f t="shared" si="27"/>
        <v>7267.3939999999993</v>
      </c>
      <c r="Q127" s="180">
        <v>3534.817</v>
      </c>
      <c r="R127" s="180">
        <v>546.94799999999998</v>
      </c>
      <c r="S127" s="180">
        <v>723</v>
      </c>
      <c r="T127" s="159">
        <v>2462.6289999999999</v>
      </c>
      <c r="U127" s="159">
        <v>0</v>
      </c>
      <c r="V127" s="5">
        <v>189290</v>
      </c>
      <c r="W127" s="194"/>
      <c r="X127" s="194"/>
      <c r="Y127" s="194"/>
      <c r="Z127" s="194"/>
      <c r="AA127" s="194"/>
      <c r="AB127" s="194"/>
      <c r="AC127" s="187">
        <v>218</v>
      </c>
      <c r="AD127" s="188">
        <v>2535</v>
      </c>
      <c r="AE127" s="213">
        <f t="shared" si="28"/>
        <v>2753</v>
      </c>
      <c r="AF127" s="5">
        <v>113795</v>
      </c>
      <c r="AK127" s="233"/>
      <c r="AO127" s="15">
        <v>64367</v>
      </c>
      <c r="AP127" s="125">
        <f t="shared" si="56"/>
        <v>0.22518699403158432</v>
      </c>
      <c r="AQ127" s="125">
        <v>1.5943483899999999</v>
      </c>
      <c r="AR127" s="159">
        <v>32794</v>
      </c>
      <c r="AS127" s="159">
        <v>13354</v>
      </c>
      <c r="AT127" s="159"/>
      <c r="AU127" s="101">
        <v>45583</v>
      </c>
      <c r="AV127" s="125">
        <f t="shared" si="48"/>
        <v>0.33632475038308413</v>
      </c>
      <c r="AW127" s="125">
        <f t="shared" si="29"/>
        <v>0.30126855071753933</v>
      </c>
      <c r="AX127" s="125">
        <f t="shared" si="55"/>
        <v>3.5056199665544796E-2</v>
      </c>
      <c r="AY127" s="125">
        <f t="shared" si="57"/>
        <v>0.9685539859870812</v>
      </c>
      <c r="AZ127" s="125">
        <f t="shared" si="58"/>
        <v>0.52645554474912359</v>
      </c>
      <c r="BA127" s="125">
        <f t="shared" si="59"/>
        <v>0.67309419409371862</v>
      </c>
      <c r="BB127" s="125">
        <f t="shared" si="60"/>
        <v>0.78947400415539837</v>
      </c>
      <c r="BC127" s="14">
        <f t="shared" si="43"/>
        <v>276849.53424657532</v>
      </c>
      <c r="BD127" s="14">
        <f t="shared" si="64"/>
        <v>127410</v>
      </c>
      <c r="BE127" s="14">
        <f t="shared" si="65"/>
        <v>149439.53424657535</v>
      </c>
      <c r="BF127" s="14">
        <v>31</v>
      </c>
      <c r="BG127" s="14"/>
      <c r="BH127" s="179">
        <f t="shared" si="61"/>
        <v>0</v>
      </c>
      <c r="BI127" s="179">
        <f t="shared" si="62"/>
        <v>3.0881116836604175E-2</v>
      </c>
      <c r="BJ127" s="259">
        <f t="shared" si="46"/>
        <v>0.96911888316339578</v>
      </c>
      <c r="BK127" s="14">
        <f t="shared" si="63"/>
        <v>206649.394</v>
      </c>
      <c r="BL127" s="14">
        <f t="shared" si="51"/>
        <v>110515</v>
      </c>
      <c r="BM127" s="262">
        <f t="shared" si="52"/>
        <v>53.479469676063992</v>
      </c>
    </row>
    <row r="128" spans="1:87" x14ac:dyDescent="0.2">
      <c r="A128" s="135">
        <v>42464</v>
      </c>
      <c r="B128" s="5">
        <v>279708</v>
      </c>
      <c r="C128" s="130">
        <v>6083</v>
      </c>
      <c r="D128" s="14">
        <v>14.37</v>
      </c>
      <c r="E128" s="130">
        <v>24679</v>
      </c>
      <c r="F128" s="186">
        <v>7.85E-2</v>
      </c>
      <c r="G128" s="165">
        <f t="shared" si="54"/>
        <v>4543</v>
      </c>
      <c r="H128" s="208">
        <v>1309</v>
      </c>
      <c r="I128" s="198">
        <v>3234</v>
      </c>
      <c r="J128" s="216"/>
      <c r="K128" s="216"/>
      <c r="L128" s="216"/>
      <c r="M128" s="130">
        <v>92203</v>
      </c>
      <c r="N128" s="144">
        <v>51065</v>
      </c>
      <c r="O128" s="14">
        <v>0</v>
      </c>
      <c r="P128" s="213">
        <f t="shared" si="27"/>
        <v>5952</v>
      </c>
      <c r="Q128" s="180">
        <v>3399</v>
      </c>
      <c r="R128" s="180">
        <v>230</v>
      </c>
      <c r="S128" s="180">
        <v>318</v>
      </c>
      <c r="T128" s="159">
        <v>1693</v>
      </c>
      <c r="U128" s="159">
        <v>312</v>
      </c>
      <c r="V128" s="5">
        <v>183137</v>
      </c>
      <c r="W128" s="194"/>
      <c r="X128" s="194"/>
      <c r="Y128" s="194"/>
      <c r="Z128" s="194"/>
      <c r="AA128" s="194"/>
      <c r="AB128" s="194"/>
      <c r="AC128" s="187">
        <v>218</v>
      </c>
      <c r="AD128" s="188">
        <v>2936</v>
      </c>
      <c r="AE128" s="213">
        <f t="shared" si="28"/>
        <v>3154</v>
      </c>
      <c r="AF128" s="5">
        <v>145967</v>
      </c>
      <c r="AK128" s="233"/>
      <c r="AO128" s="15">
        <v>121668</v>
      </c>
      <c r="AP128" s="125">
        <f t="shared" si="56"/>
        <v>0.43498219571839203</v>
      </c>
      <c r="AQ128" s="125">
        <v>1.58</v>
      </c>
      <c r="AR128" s="159">
        <v>31563</v>
      </c>
      <c r="AS128" s="159">
        <v>15011</v>
      </c>
      <c r="AT128" s="159"/>
      <c r="AU128" s="101">
        <v>45583</v>
      </c>
      <c r="AV128" s="125">
        <f t="shared" si="48"/>
        <v>0.56100290302744293</v>
      </c>
      <c r="AW128" s="125">
        <f t="shared" si="29"/>
        <v>0.5284475238462969</v>
      </c>
      <c r="AX128" s="125">
        <f t="shared" si="55"/>
        <v>3.2555379181146038E-2</v>
      </c>
      <c r="AY128" s="125">
        <f t="shared" si="57"/>
        <v>0.95785213190037133</v>
      </c>
      <c r="AZ128" s="125">
        <f t="shared" si="58"/>
        <v>0.96342971956468892</v>
      </c>
      <c r="BA128" s="125">
        <f t="shared" si="59"/>
        <v>0.67326646171991456</v>
      </c>
      <c r="BB128" s="125">
        <f t="shared" si="60"/>
        <v>0.78967605732096202</v>
      </c>
      <c r="BC128" s="14">
        <f t="shared" si="43"/>
        <v>267918.90410958906</v>
      </c>
      <c r="BD128" s="14">
        <f t="shared" si="64"/>
        <v>123300</v>
      </c>
      <c r="BE128" s="14">
        <f t="shared" si="65"/>
        <v>144618.90410958903</v>
      </c>
      <c r="BF128" s="14">
        <v>30</v>
      </c>
      <c r="BG128" s="14"/>
      <c r="BH128" s="179">
        <f t="shared" si="61"/>
        <v>0</v>
      </c>
      <c r="BI128" s="179">
        <f t="shared" si="62"/>
        <v>2.049306195382081E-2</v>
      </c>
      <c r="BJ128" s="259">
        <f t="shared" si="46"/>
        <v>0.97950693804617917</v>
      </c>
      <c r="BK128" s="14">
        <f t="shared" si="63"/>
        <v>325159</v>
      </c>
      <c r="BL128" s="14">
        <f t="shared" si="51"/>
        <v>168242</v>
      </c>
      <c r="BM128" s="262">
        <f t="shared" si="52"/>
        <v>51.741455718586906</v>
      </c>
      <c r="CG128" s="1" t="s">
        <v>132</v>
      </c>
      <c r="CH128" s="1" t="s">
        <v>133</v>
      </c>
      <c r="CI128" s="1" t="s">
        <v>134</v>
      </c>
    </row>
    <row r="129" spans="1:89" x14ac:dyDescent="0.2">
      <c r="A129" s="135">
        <v>42495</v>
      </c>
      <c r="B129" s="5">
        <v>293627.99800000002</v>
      </c>
      <c r="C129" s="130">
        <v>6165.6</v>
      </c>
      <c r="D129" s="14">
        <v>13.8</v>
      </c>
      <c r="E129" s="130">
        <v>24874.21</v>
      </c>
      <c r="F129" s="186">
        <v>6.3E-2</v>
      </c>
      <c r="G129" s="165">
        <f t="shared" si="54"/>
        <v>3565</v>
      </c>
      <c r="H129" s="208">
        <v>1150</v>
      </c>
      <c r="I129" s="198">
        <v>2415</v>
      </c>
      <c r="J129" s="216"/>
      <c r="K129" s="216"/>
      <c r="L129" s="216"/>
      <c r="M129" s="130">
        <v>110478</v>
      </c>
      <c r="N129" s="144">
        <v>35497</v>
      </c>
      <c r="O129" s="14">
        <v>0</v>
      </c>
      <c r="P129" s="213">
        <f t="shared" si="27"/>
        <v>3589.5070000000001</v>
      </c>
      <c r="Q129" s="180">
        <v>91.67</v>
      </c>
      <c r="R129" s="180">
        <v>0.24099999999999999</v>
      </c>
      <c r="S129" s="180">
        <v>0.245</v>
      </c>
      <c r="T129" s="159">
        <v>2649.0010000000002</v>
      </c>
      <c r="U129" s="159">
        <v>848.35</v>
      </c>
      <c r="V129" s="5">
        <v>214297</v>
      </c>
      <c r="W129" s="194"/>
      <c r="X129" s="194"/>
      <c r="Y129" s="194"/>
      <c r="Z129" s="194"/>
      <c r="AA129" s="194"/>
      <c r="AB129" s="194"/>
      <c r="AC129" s="187">
        <v>218</v>
      </c>
      <c r="AD129" s="188">
        <v>2682</v>
      </c>
      <c r="AE129" s="213">
        <f t="shared" si="28"/>
        <v>2900</v>
      </c>
      <c r="AF129" s="5">
        <v>141887</v>
      </c>
      <c r="AK129" s="233"/>
      <c r="AO129" s="15">
        <v>139336</v>
      </c>
      <c r="AP129" s="125">
        <f t="shared" si="56"/>
        <v>0.47453240477428854</v>
      </c>
      <c r="AQ129" s="125">
        <v>1.61</v>
      </c>
      <c r="AR129" s="159">
        <v>30355</v>
      </c>
      <c r="AS129" s="159">
        <v>11824</v>
      </c>
      <c r="AT129" s="159"/>
      <c r="AU129" s="101">
        <v>45583</v>
      </c>
      <c r="AV129" s="125">
        <f t="shared" si="48"/>
        <v>0.53138497712333277</v>
      </c>
      <c r="AW129" s="125">
        <f t="shared" si="29"/>
        <v>0.50928385923197961</v>
      </c>
      <c r="AX129" s="125">
        <f t="shared" si="55"/>
        <v>2.2101117891353161E-2</v>
      </c>
      <c r="AY129" s="125">
        <f t="shared" si="57"/>
        <v>0.94285809300302248</v>
      </c>
      <c r="AZ129" s="125">
        <f t="shared" si="58"/>
        <v>0.9838162640062682</v>
      </c>
      <c r="BA129" s="125">
        <f t="shared" si="59"/>
        <v>0.59454868710247932</v>
      </c>
      <c r="BB129" s="125">
        <f t="shared" si="60"/>
        <v>0.69734776616833338</v>
      </c>
      <c r="BC129" s="14">
        <f t="shared" si="43"/>
        <v>276849.53424657532</v>
      </c>
      <c r="BD129" s="14">
        <f t="shared" si="64"/>
        <v>127410</v>
      </c>
      <c r="BE129" s="14">
        <f t="shared" si="65"/>
        <v>149439.53424657535</v>
      </c>
      <c r="BF129" s="14">
        <v>31</v>
      </c>
      <c r="BG129" s="14"/>
      <c r="BH129" s="179">
        <f t="shared" si="61"/>
        <v>0</v>
      </c>
      <c r="BI129" s="179">
        <f t="shared" si="62"/>
        <v>1.8373009076896728E-2</v>
      </c>
      <c r="BJ129" s="259">
        <f t="shared" si="46"/>
        <v>0.98162699092310324</v>
      </c>
      <c r="BK129" s="14">
        <f t="shared" si="63"/>
        <v>337544.50699999998</v>
      </c>
      <c r="BL129" s="14">
        <f t="shared" si="51"/>
        <v>181515</v>
      </c>
      <c r="BM129" s="262">
        <f t="shared" si="52"/>
        <v>53.775130756312386</v>
      </c>
      <c r="CG129" s="1">
        <v>822467</v>
      </c>
      <c r="CH129" s="1">
        <v>44158</v>
      </c>
      <c r="CI129" s="1">
        <v>394714</v>
      </c>
    </row>
    <row r="130" spans="1:89" x14ac:dyDescent="0.2">
      <c r="A130" s="135">
        <v>42527</v>
      </c>
      <c r="B130" s="5">
        <v>296897.587</v>
      </c>
      <c r="C130" s="130">
        <v>6164</v>
      </c>
      <c r="D130" s="14">
        <v>13.3</v>
      </c>
      <c r="E130" s="130">
        <v>26393</v>
      </c>
      <c r="F130" s="186">
        <v>5.11E-2</v>
      </c>
      <c r="G130" s="165">
        <f t="shared" si="54"/>
        <v>3134</v>
      </c>
      <c r="H130" s="208">
        <v>1179</v>
      </c>
      <c r="I130" s="198">
        <v>1955</v>
      </c>
      <c r="J130" s="216"/>
      <c r="K130" s="216"/>
      <c r="L130" s="216"/>
      <c r="M130" s="130">
        <v>114293</v>
      </c>
      <c r="N130" s="144">
        <v>36708</v>
      </c>
      <c r="O130" s="14">
        <v>0</v>
      </c>
      <c r="P130" s="213">
        <f t="shared" si="27"/>
        <v>3699.1670000000004</v>
      </c>
      <c r="Q130" s="180">
        <v>73.106999999999999</v>
      </c>
      <c r="R130" s="180">
        <v>0.28299999999999997</v>
      </c>
      <c r="S130" s="180">
        <v>0.29399999999999998</v>
      </c>
      <c r="T130" s="159">
        <v>2986.1610000000001</v>
      </c>
      <c r="U130" s="159">
        <v>639.322</v>
      </c>
      <c r="V130" s="5">
        <v>176404</v>
      </c>
      <c r="W130" s="194"/>
      <c r="X130" s="194"/>
      <c r="Y130" s="194"/>
      <c r="Z130" s="194"/>
      <c r="AA130" s="194"/>
      <c r="AB130" s="194"/>
      <c r="AC130" s="187">
        <v>218</v>
      </c>
      <c r="AD130" s="188">
        <v>2709</v>
      </c>
      <c r="AE130" s="213">
        <f t="shared" si="28"/>
        <v>2927</v>
      </c>
      <c r="AF130" s="5">
        <v>111252</v>
      </c>
      <c r="AK130" s="233"/>
      <c r="AO130" s="15">
        <v>106850</v>
      </c>
      <c r="AP130" s="125">
        <f t="shared" si="56"/>
        <v>0.35988840825439244</v>
      </c>
      <c r="AQ130" s="125">
        <v>1.6174999999999999</v>
      </c>
      <c r="AR130" s="159">
        <v>27403</v>
      </c>
      <c r="AS130" s="159">
        <v>12072</v>
      </c>
      <c r="AT130" s="159"/>
      <c r="AU130" s="101">
        <v>45583</v>
      </c>
      <c r="AV130" s="125">
        <f t="shared" si="48"/>
        <v>0.5414701029550637</v>
      </c>
      <c r="AW130" s="125">
        <f t="shared" si="29"/>
        <v>0.51915208054553841</v>
      </c>
      <c r="AX130" s="125">
        <f t="shared" si="55"/>
        <v>2.2318022409525295E-2</v>
      </c>
      <c r="AY130" s="125">
        <f t="shared" si="57"/>
        <v>0.90239502050782605</v>
      </c>
      <c r="AZ130" s="125">
        <f t="shared" si="58"/>
        <v>0.87904048879993091</v>
      </c>
      <c r="BA130" s="125">
        <f t="shared" si="59"/>
        <v>0.69896374231876823</v>
      </c>
      <c r="BB130" s="125">
        <f t="shared" si="60"/>
        <v>0.81981646736802471</v>
      </c>
      <c r="BC130" s="14">
        <f t="shared" si="43"/>
        <v>267918.90410958906</v>
      </c>
      <c r="BD130" s="14">
        <f t="shared" si="64"/>
        <v>123300</v>
      </c>
      <c r="BE130" s="14">
        <f t="shared" si="65"/>
        <v>144618.90410958903</v>
      </c>
      <c r="BF130" s="14">
        <v>30</v>
      </c>
      <c r="BG130" s="14"/>
      <c r="BH130" s="179">
        <f t="shared" si="61"/>
        <v>0</v>
      </c>
      <c r="BI130" s="179">
        <f t="shared" si="62"/>
        <v>1.7940278541201712E-2</v>
      </c>
      <c r="BJ130" s="259">
        <f t="shared" si="46"/>
        <v>0.98205972145879827</v>
      </c>
      <c r="BK130" s="14">
        <f t="shared" si="63"/>
        <v>307086.16700000002</v>
      </c>
      <c r="BL130" s="14">
        <f t="shared" si="51"/>
        <v>146325</v>
      </c>
      <c r="BM130" s="262">
        <f t="shared" si="52"/>
        <v>47.649492463136575</v>
      </c>
      <c r="CG130" s="1">
        <v>674768</v>
      </c>
      <c r="CH130" s="1">
        <v>69241</v>
      </c>
      <c r="CI130" s="1">
        <v>146940</v>
      </c>
    </row>
    <row r="131" spans="1:89" x14ac:dyDescent="0.2">
      <c r="A131" s="135">
        <v>42558</v>
      </c>
      <c r="B131" s="5">
        <v>299523.74599999998</v>
      </c>
      <c r="C131" s="130">
        <v>6139.1</v>
      </c>
      <c r="D131" s="14">
        <v>14.2</v>
      </c>
      <c r="E131" s="130">
        <v>30821.4</v>
      </c>
      <c r="F131" s="186">
        <v>4.9299999999999997E-2</v>
      </c>
      <c r="G131" s="165">
        <f t="shared" si="54"/>
        <v>3498</v>
      </c>
      <c r="H131" s="208">
        <v>1351</v>
      </c>
      <c r="I131" s="198">
        <v>2147</v>
      </c>
      <c r="J131" s="216"/>
      <c r="K131" s="216"/>
      <c r="L131" s="216"/>
      <c r="M131" s="130">
        <v>97771</v>
      </c>
      <c r="N131" s="144">
        <v>44243</v>
      </c>
      <c r="O131" s="14">
        <v>0</v>
      </c>
      <c r="P131" s="213">
        <f t="shared" si="27"/>
        <v>3403.9789999999998</v>
      </c>
      <c r="Q131" s="180">
        <v>76.033000000000001</v>
      </c>
      <c r="R131" s="180">
        <v>0.30299999999999999</v>
      </c>
      <c r="S131" s="180">
        <v>0.26200000000000001</v>
      </c>
      <c r="T131" s="159">
        <v>1921.9849999999999</v>
      </c>
      <c r="U131" s="159">
        <v>1405.396</v>
      </c>
      <c r="V131" s="5">
        <v>188480</v>
      </c>
      <c r="W131" s="194"/>
      <c r="X131" s="194"/>
      <c r="Y131" s="194"/>
      <c r="Z131" s="194"/>
      <c r="AA131" s="194"/>
      <c r="AB131" s="194"/>
      <c r="AC131" s="187">
        <v>218</v>
      </c>
      <c r="AD131" s="188">
        <v>2419</v>
      </c>
      <c r="AE131" s="213">
        <f t="shared" si="28"/>
        <v>2637</v>
      </c>
      <c r="AF131" s="5">
        <v>119046</v>
      </c>
      <c r="AK131" s="233"/>
      <c r="AO131" s="15">
        <v>145143</v>
      </c>
      <c r="AP131" s="125">
        <f t="shared" si="56"/>
        <v>0.48457927606180518</v>
      </c>
      <c r="AQ131" s="125">
        <v>1.61</v>
      </c>
      <c r="AR131" s="159">
        <v>27366</v>
      </c>
      <c r="AS131" s="159">
        <v>12351</v>
      </c>
      <c r="AT131" s="159"/>
      <c r="AU131" s="101">
        <v>45583</v>
      </c>
      <c r="AV131" s="125">
        <f t="shared" si="48"/>
        <v>0.5059798464192552</v>
      </c>
      <c r="AW131" s="125">
        <f t="shared" si="29"/>
        <v>0.48581123180797831</v>
      </c>
      <c r="AX131" s="125">
        <f t="shared" si="55"/>
        <v>2.0168614611276892E-2</v>
      </c>
      <c r="AY131" s="125">
        <f t="shared" si="57"/>
        <v>0.92429911799572428</v>
      </c>
      <c r="AZ131" s="125">
        <f t="shared" si="58"/>
        <v>0.97039050786978343</v>
      </c>
      <c r="BA131" s="125">
        <f t="shared" si="59"/>
        <v>0.67598684210526316</v>
      </c>
      <c r="BB131" s="125">
        <f t="shared" si="60"/>
        <v>0.79286679884643119</v>
      </c>
      <c r="BC131" s="14">
        <f t="shared" si="43"/>
        <v>276849.53424657532</v>
      </c>
      <c r="BD131" s="14">
        <f t="shared" si="64"/>
        <v>127410</v>
      </c>
      <c r="BE131" s="14">
        <f t="shared" si="65"/>
        <v>149439.53424657535</v>
      </c>
      <c r="BF131" s="14">
        <v>31</v>
      </c>
      <c r="BG131" s="14"/>
      <c r="BH131" s="179">
        <f t="shared" si="61"/>
        <v>0</v>
      </c>
      <c r="BI131" s="179">
        <f t="shared" si="62"/>
        <v>1.703353190530511E-2</v>
      </c>
      <c r="BJ131" s="259">
        <f t="shared" si="46"/>
        <v>0.9829664680946949</v>
      </c>
      <c r="BK131" s="14">
        <f t="shared" si="63"/>
        <v>336412.97899999999</v>
      </c>
      <c r="BL131" s="14">
        <f t="shared" si="51"/>
        <v>184860</v>
      </c>
      <c r="BM131" s="262">
        <f t="shared" si="52"/>
        <v>54.95031747868444</v>
      </c>
      <c r="CG131" s="1">
        <v>0</v>
      </c>
      <c r="CH131" s="1">
        <v>45038</v>
      </c>
      <c r="CI131" s="1">
        <v>0</v>
      </c>
    </row>
    <row r="132" spans="1:89" x14ac:dyDescent="0.2">
      <c r="A132" s="135">
        <v>42590</v>
      </c>
      <c r="B132" s="5">
        <v>282160.26</v>
      </c>
      <c r="C132" s="130">
        <v>6106</v>
      </c>
      <c r="D132" s="14">
        <v>13.55</v>
      </c>
      <c r="E132" s="130">
        <v>28066</v>
      </c>
      <c r="F132" s="186">
        <v>5.1999999999999998E-2</v>
      </c>
      <c r="G132" s="165">
        <f t="shared" si="54"/>
        <v>3711</v>
      </c>
      <c r="H132" s="208">
        <v>1231</v>
      </c>
      <c r="I132" s="198">
        <v>2480</v>
      </c>
      <c r="J132" s="216"/>
      <c r="K132" s="216"/>
      <c r="L132" s="216"/>
      <c r="M132" s="130">
        <v>91047</v>
      </c>
      <c r="N132" s="144">
        <v>38993</v>
      </c>
      <c r="O132" s="14">
        <v>0</v>
      </c>
      <c r="P132" s="213">
        <f t="shared" si="27"/>
        <v>2201.355</v>
      </c>
      <c r="Q132" s="180">
        <v>107.663</v>
      </c>
      <c r="R132" s="180">
        <v>0</v>
      </c>
      <c r="S132" s="180">
        <v>0</v>
      </c>
      <c r="T132" s="159">
        <v>182.892</v>
      </c>
      <c r="U132" s="159">
        <v>1910.8</v>
      </c>
      <c r="V132" s="5">
        <v>218992</v>
      </c>
      <c r="W132" s="194"/>
      <c r="X132" s="194"/>
      <c r="Y132" s="194"/>
      <c r="Z132" s="194"/>
      <c r="AA132" s="194"/>
      <c r="AB132" s="194"/>
      <c r="AC132" s="187">
        <v>218</v>
      </c>
      <c r="AD132" s="188">
        <v>2972</v>
      </c>
      <c r="AE132" s="213">
        <f t="shared" si="28"/>
        <v>3190</v>
      </c>
      <c r="AF132" s="5">
        <v>136467</v>
      </c>
      <c r="AK132" s="233"/>
      <c r="AO132" s="15">
        <v>157461</v>
      </c>
      <c r="AP132" s="125">
        <f t="shared" si="56"/>
        <v>0.55805519884338073</v>
      </c>
      <c r="AQ132" s="125">
        <v>1.61</v>
      </c>
      <c r="AR132" s="159">
        <v>28992</v>
      </c>
      <c r="AS132" s="159">
        <v>12835</v>
      </c>
      <c r="AT132" s="159"/>
      <c r="AU132" s="101">
        <v>45583</v>
      </c>
      <c r="AV132" s="125">
        <f t="shared" si="48"/>
        <v>0.49313236031183133</v>
      </c>
      <c r="AW132" s="125">
        <f t="shared" si="29"/>
        <v>0.4740249388769347</v>
      </c>
      <c r="AX132" s="125">
        <f t="shared" si="55"/>
        <v>1.9107421434896632E-2</v>
      </c>
      <c r="AY132" s="125">
        <f t="shared" si="57"/>
        <v>0.98117833548415112</v>
      </c>
      <c r="AZ132" s="125">
        <f t="shared" si="58"/>
        <v>1.0320801377203153</v>
      </c>
      <c r="BA132" s="125">
        <f t="shared" si="59"/>
        <v>0.58180207496164238</v>
      </c>
      <c r="BB132" s="125">
        <f t="shared" si="60"/>
        <v>0.68239723024848098</v>
      </c>
      <c r="BC132" s="14">
        <f t="shared" si="43"/>
        <v>276849.53424657532</v>
      </c>
      <c r="BD132" s="14">
        <f t="shared" si="64"/>
        <v>127410</v>
      </c>
      <c r="BE132" s="14">
        <f t="shared" si="65"/>
        <v>149439.53424657535</v>
      </c>
      <c r="BF132" s="14">
        <v>31</v>
      </c>
      <c r="BG132" s="14"/>
      <c r="BH132" s="179">
        <f t="shared" si="61"/>
        <v>0</v>
      </c>
      <c r="BI132" s="179">
        <f t="shared" si="62"/>
        <v>2.2854506305752077E-2</v>
      </c>
      <c r="BJ132" s="259">
        <f t="shared" si="46"/>
        <v>0.97714549369424797</v>
      </c>
      <c r="BK132" s="14">
        <f t="shared" si="63"/>
        <v>338430.35499999998</v>
      </c>
      <c r="BL132" s="14">
        <f t="shared" si="51"/>
        <v>199288</v>
      </c>
      <c r="BM132" s="262">
        <f t="shared" si="52"/>
        <v>58.885970793015893</v>
      </c>
      <c r="CG132" s="1">
        <f>SUM(CG129:CG131)</f>
        <v>1497235</v>
      </c>
      <c r="CH132" s="1">
        <f>SUM(CH129:CH131)</f>
        <v>158437</v>
      </c>
      <c r="CI132" s="1">
        <f>SUM(CI129:CI131)</f>
        <v>541654</v>
      </c>
      <c r="CJ132" s="1">
        <f>SUM(CG132:CI132)</f>
        <v>2197326</v>
      </c>
      <c r="CK132" s="1">
        <f>CJ132/1000</f>
        <v>2197.326</v>
      </c>
    </row>
    <row r="133" spans="1:89" x14ac:dyDescent="0.2">
      <c r="A133" s="135">
        <v>42622</v>
      </c>
      <c r="B133" s="5">
        <v>269256</v>
      </c>
      <c r="C133" s="130">
        <v>6019</v>
      </c>
      <c r="D133" s="14">
        <v>13.18</v>
      </c>
      <c r="E133" s="130">
        <v>25087</v>
      </c>
      <c r="F133" s="186">
        <v>4.3400000000000001E-2</v>
      </c>
      <c r="G133" s="165">
        <f t="shared" si="54"/>
        <v>4269</v>
      </c>
      <c r="H133" s="208">
        <v>1290</v>
      </c>
      <c r="I133" s="198">
        <v>2979</v>
      </c>
      <c r="J133" s="216"/>
      <c r="K133" s="216"/>
      <c r="L133" s="216"/>
      <c r="M133" s="130">
        <v>107360</v>
      </c>
      <c r="N133" s="144">
        <v>9997</v>
      </c>
      <c r="O133" s="14">
        <v>0</v>
      </c>
      <c r="P133" s="213">
        <f t="shared" si="27"/>
        <v>5011.24</v>
      </c>
      <c r="Q133" s="180">
        <v>93.49</v>
      </c>
      <c r="R133" s="180">
        <v>643.54100000000005</v>
      </c>
      <c r="S133" s="180">
        <v>957.67200000000003</v>
      </c>
      <c r="T133" s="159">
        <v>2340.799</v>
      </c>
      <c r="U133" s="159">
        <v>975.73800000000006</v>
      </c>
      <c r="V133" s="5">
        <v>212933</v>
      </c>
      <c r="W133" s="194"/>
      <c r="X133" s="194"/>
      <c r="Y133" s="194"/>
      <c r="Z133" s="194"/>
      <c r="AA133" s="194"/>
      <c r="AB133" s="194"/>
      <c r="AC133" s="187">
        <v>218</v>
      </c>
      <c r="AD133" s="188">
        <v>1692</v>
      </c>
      <c r="AE133" s="213">
        <f t="shared" si="28"/>
        <v>1910</v>
      </c>
      <c r="AF133" s="5">
        <v>130713</v>
      </c>
      <c r="AK133" s="233"/>
      <c r="AO133" s="15">
        <v>179607</v>
      </c>
      <c r="AP133" s="125">
        <f t="shared" si="56"/>
        <v>0.66704920224618947</v>
      </c>
      <c r="AQ133" s="125">
        <v>1.4526666669999999</v>
      </c>
      <c r="AR133" s="159">
        <v>31345</v>
      </c>
      <c r="AS133" s="159">
        <v>11491</v>
      </c>
      <c r="AT133" s="159"/>
      <c r="AU133" s="101">
        <v>45583</v>
      </c>
      <c r="AV133" s="125">
        <f t="shared" si="48"/>
        <v>0.47741643640253145</v>
      </c>
      <c r="AW133" s="125">
        <f t="shared" ref="AW133:AW196" si="66">(M133+N133+G133)/B133</f>
        <v>0.4517113824761565</v>
      </c>
      <c r="AX133" s="125">
        <f t="shared" si="55"/>
        <v>2.5705053926374954E-2</v>
      </c>
      <c r="AY133" s="125">
        <f t="shared" si="57"/>
        <v>0.99503410921052482</v>
      </c>
      <c r="AZ133" s="125">
        <f t="shared" si="58"/>
        <v>1.1187605847223461</v>
      </c>
      <c r="BA133" s="125">
        <f t="shared" si="59"/>
        <v>0.57905538361832121</v>
      </c>
      <c r="BB133" s="125">
        <f t="shared" si="60"/>
        <v>0.67917562852911018</v>
      </c>
      <c r="BC133" s="14">
        <f t="shared" si="43"/>
        <v>267918.90410958906</v>
      </c>
      <c r="BD133" s="14">
        <f t="shared" si="64"/>
        <v>123300</v>
      </c>
      <c r="BE133" s="14">
        <f t="shared" si="65"/>
        <v>144618.90410958903</v>
      </c>
      <c r="BF133" s="14">
        <v>30</v>
      </c>
      <c r="BG133" s="14"/>
      <c r="BH133" s="179">
        <f t="shared" si="61"/>
        <v>0</v>
      </c>
      <c r="BI133" s="179">
        <f t="shared" si="62"/>
        <v>1.44175464607991E-2</v>
      </c>
      <c r="BJ133" s="259">
        <f t="shared" si="46"/>
        <v>0.98558245353920093</v>
      </c>
      <c r="BK133" s="14">
        <f t="shared" si="63"/>
        <v>350990.24</v>
      </c>
      <c r="BL133" s="14">
        <f t="shared" si="51"/>
        <v>222443</v>
      </c>
      <c r="BM133" s="262">
        <f t="shared" si="52"/>
        <v>63.375836319551226</v>
      </c>
    </row>
    <row r="134" spans="1:89" x14ac:dyDescent="0.2">
      <c r="A134" s="135">
        <v>42653</v>
      </c>
      <c r="B134" s="5">
        <v>286720.72100000002</v>
      </c>
      <c r="C134" s="130">
        <v>5459.6409999999996</v>
      </c>
      <c r="D134" s="14">
        <v>13.24</v>
      </c>
      <c r="E134" s="130">
        <v>25311.96</v>
      </c>
      <c r="F134" s="186">
        <v>4.1700000000000001E-2</v>
      </c>
      <c r="G134" s="165">
        <f t="shared" si="54"/>
        <v>4498</v>
      </c>
      <c r="H134" s="208">
        <v>1387</v>
      </c>
      <c r="I134" s="198">
        <v>3111</v>
      </c>
      <c r="J134" s="216"/>
      <c r="K134" s="216"/>
      <c r="L134" s="216"/>
      <c r="M134" s="130">
        <v>86004</v>
      </c>
      <c r="N134" s="144">
        <v>53091</v>
      </c>
      <c r="O134" s="14">
        <v>0</v>
      </c>
      <c r="P134" s="213">
        <f t="shared" si="27"/>
        <v>3570.7809999999999</v>
      </c>
      <c r="Q134" s="180">
        <v>113.874</v>
      </c>
      <c r="R134" s="180">
        <v>723.654</v>
      </c>
      <c r="S134" s="180">
        <v>717.23</v>
      </c>
      <c r="T134" s="159">
        <v>1791.3789999999999</v>
      </c>
      <c r="U134" s="159">
        <v>224.64400000000001</v>
      </c>
      <c r="V134" s="5">
        <v>215552</v>
      </c>
      <c r="W134" s="194">
        <v>0</v>
      </c>
      <c r="X134" s="194">
        <v>414</v>
      </c>
      <c r="Y134" s="194">
        <v>0</v>
      </c>
      <c r="Z134" s="194">
        <v>1138.7</v>
      </c>
      <c r="AA134" s="194">
        <v>170.2</v>
      </c>
      <c r="AB134" s="194"/>
      <c r="AC134" s="187">
        <v>284.5</v>
      </c>
      <c r="AD134" s="188">
        <v>0</v>
      </c>
      <c r="AE134" s="213">
        <f t="shared" ref="AE134:AE139" si="67">SUM(W134:AC134)</f>
        <v>2007.4</v>
      </c>
      <c r="AF134" s="5">
        <v>120261</v>
      </c>
      <c r="AK134" s="233"/>
      <c r="AO134" s="15">
        <v>140145</v>
      </c>
      <c r="AP134" s="125">
        <f t="shared" si="56"/>
        <v>0.48878574074177217</v>
      </c>
      <c r="AQ134" s="125">
        <v>1.5119354840000001</v>
      </c>
      <c r="AR134" s="159">
        <v>31157</v>
      </c>
      <c r="AS134" s="159">
        <v>10587</v>
      </c>
      <c r="AT134" s="159"/>
      <c r="AU134" s="101">
        <v>45583</v>
      </c>
      <c r="AV134" s="125">
        <f t="shared" si="48"/>
        <v>0.52026648258881847</v>
      </c>
      <c r="AW134" s="125">
        <f t="shared" si="66"/>
        <v>0.50081138014437399</v>
      </c>
      <c r="AX134" s="125">
        <f t="shared" si="55"/>
        <v>1.9455102444444483E-2</v>
      </c>
      <c r="AY134" s="125">
        <f t="shared" si="57"/>
        <v>0.9655721193815473</v>
      </c>
      <c r="AZ134" s="125">
        <f t="shared" si="58"/>
        <v>0.98959712088614615</v>
      </c>
      <c r="BA134" s="125">
        <f t="shared" si="59"/>
        <v>0.59108706947743472</v>
      </c>
      <c r="BB134" s="125">
        <f t="shared" si="60"/>
        <v>0.69328762547587286</v>
      </c>
      <c r="BC134" s="14">
        <f t="shared" si="43"/>
        <v>276849.53424657532</v>
      </c>
      <c r="BD134" s="14">
        <f t="shared" si="64"/>
        <v>127410</v>
      </c>
      <c r="BE134" s="14">
        <f t="shared" si="65"/>
        <v>149439.53424657535</v>
      </c>
      <c r="BF134" s="14">
        <v>31</v>
      </c>
      <c r="BG134" s="14"/>
      <c r="BH134" s="179">
        <f t="shared" si="61"/>
        <v>0</v>
      </c>
      <c r="BI134" s="179">
        <f t="shared" si="62"/>
        <v>0</v>
      </c>
      <c r="BJ134" s="259">
        <f t="shared" si="46"/>
        <v>1</v>
      </c>
      <c r="BK134" s="14">
        <f t="shared" si="63"/>
        <v>331060.18099999998</v>
      </c>
      <c r="BL134" s="14">
        <f t="shared" ref="BL134:BL186" si="68">SUM(AO134,AR134,AS134)</f>
        <v>181889</v>
      </c>
      <c r="BM134" s="262">
        <f t="shared" ref="BM134:BM170" si="69">(BL134*100)/BK134</f>
        <v>54.94137031236626</v>
      </c>
    </row>
    <row r="135" spans="1:89" x14ac:dyDescent="0.2">
      <c r="A135" s="135">
        <v>42685</v>
      </c>
      <c r="B135" s="5">
        <v>283062</v>
      </c>
      <c r="C135" s="130">
        <v>6447</v>
      </c>
      <c r="D135" s="14">
        <v>12.72</v>
      </c>
      <c r="E135" s="130">
        <v>20730</v>
      </c>
      <c r="F135" s="186">
        <v>4.1200000000000001E-2</v>
      </c>
      <c r="G135" s="165">
        <f t="shared" si="54"/>
        <v>4610</v>
      </c>
      <c r="H135" s="208">
        <v>3193</v>
      </c>
      <c r="I135" s="198">
        <v>1417</v>
      </c>
      <c r="J135" s="216"/>
      <c r="K135" s="216"/>
      <c r="L135" s="216"/>
      <c r="M135" s="130">
        <v>34655</v>
      </c>
      <c r="N135" s="144">
        <v>88037</v>
      </c>
      <c r="O135" s="14">
        <v>0</v>
      </c>
      <c r="P135" s="213">
        <f t="shared" si="27"/>
        <v>3248.1499999999996</v>
      </c>
      <c r="Q135" s="180">
        <v>109.64100000000001</v>
      </c>
      <c r="R135" s="180">
        <v>658.80600000000004</v>
      </c>
      <c r="S135" s="180">
        <v>63.8</v>
      </c>
      <c r="T135" s="159">
        <v>1226.866</v>
      </c>
      <c r="U135" s="159">
        <v>1189.037</v>
      </c>
      <c r="V135" s="5">
        <v>215066</v>
      </c>
      <c r="W135" s="194">
        <v>0</v>
      </c>
      <c r="X135" s="194">
        <v>543</v>
      </c>
      <c r="Y135" s="194">
        <v>0</v>
      </c>
      <c r="Z135" s="194">
        <v>3379</v>
      </c>
      <c r="AA135" s="194">
        <v>1293</v>
      </c>
      <c r="AB135" s="194"/>
      <c r="AC135" s="187">
        <v>0</v>
      </c>
      <c r="AD135" s="188">
        <v>0</v>
      </c>
      <c r="AE135" s="213">
        <f t="shared" si="67"/>
        <v>5215</v>
      </c>
      <c r="AF135" s="5">
        <v>141304</v>
      </c>
      <c r="AK135" s="233"/>
      <c r="AO135" s="15">
        <v>153917</v>
      </c>
      <c r="AP135" s="125">
        <f t="shared" si="56"/>
        <v>0.54375719806968081</v>
      </c>
      <c r="AQ135" s="125">
        <v>1.4303333330000001</v>
      </c>
      <c r="AR135" s="159">
        <v>28972</v>
      </c>
      <c r="AS135" s="159">
        <v>10921</v>
      </c>
      <c r="AT135" s="159"/>
      <c r="AU135" s="101">
        <v>45583</v>
      </c>
      <c r="AV135" s="125">
        <f t="shared" si="48"/>
        <v>0.47963043432180935</v>
      </c>
      <c r="AW135" s="125">
        <f t="shared" si="66"/>
        <v>0.44973186086440425</v>
      </c>
      <c r="AX135" s="125">
        <f t="shared" si="55"/>
        <v>2.9898573457405098E-2</v>
      </c>
      <c r="AY135" s="125">
        <f t="shared" si="57"/>
        <v>0.94650254753230412</v>
      </c>
      <c r="AZ135" s="125">
        <f t="shared" si="58"/>
        <v>0.99348905893408512</v>
      </c>
      <c r="BA135" s="125">
        <f t="shared" si="59"/>
        <v>0.57331237852566186</v>
      </c>
      <c r="BB135" s="125">
        <f t="shared" si="60"/>
        <v>0.67243964229394249</v>
      </c>
      <c r="BC135" s="14">
        <f t="shared" si="43"/>
        <v>267918.90410958906</v>
      </c>
      <c r="BD135" s="14">
        <f t="shared" si="64"/>
        <v>123300</v>
      </c>
      <c r="BE135" s="14">
        <f t="shared" si="65"/>
        <v>144618.90410958903</v>
      </c>
      <c r="BF135" s="14">
        <v>30</v>
      </c>
      <c r="BG135" s="14"/>
      <c r="BH135" s="179">
        <f t="shared" si="61"/>
        <v>0</v>
      </c>
      <c r="BI135" s="179">
        <f t="shared" si="62"/>
        <v>0</v>
      </c>
      <c r="BJ135" s="259">
        <f t="shared" si="46"/>
        <v>1</v>
      </c>
      <c r="BK135" s="14">
        <f t="shared" si="63"/>
        <v>329575.15000000002</v>
      </c>
      <c r="BL135" s="14">
        <f t="shared" si="68"/>
        <v>193810</v>
      </c>
      <c r="BM135" s="262">
        <f t="shared" si="69"/>
        <v>58.806011314870062</v>
      </c>
      <c r="CG135" s="1">
        <v>791210</v>
      </c>
      <c r="CH135" s="1">
        <v>27743</v>
      </c>
      <c r="CI135" s="1">
        <v>393719</v>
      </c>
    </row>
    <row r="136" spans="1:89" x14ac:dyDescent="0.2">
      <c r="A136" s="135">
        <v>42716</v>
      </c>
      <c r="B136" s="5">
        <v>267830</v>
      </c>
      <c r="C136" s="130">
        <v>6085</v>
      </c>
      <c r="D136" s="14">
        <v>12.46</v>
      </c>
      <c r="E136" s="130">
        <v>19580.650000000001</v>
      </c>
      <c r="F136" s="186">
        <v>4.5900000000000003E-2</v>
      </c>
      <c r="G136" s="165">
        <f t="shared" si="54"/>
        <v>5017</v>
      </c>
      <c r="H136" s="208">
        <v>1668</v>
      </c>
      <c r="I136" s="198">
        <v>3349</v>
      </c>
      <c r="J136" s="216"/>
      <c r="K136" s="216"/>
      <c r="L136" s="216"/>
      <c r="M136" s="130">
        <v>22651</v>
      </c>
      <c r="N136" s="144">
        <v>64817</v>
      </c>
      <c r="O136" s="14">
        <v>0</v>
      </c>
      <c r="P136" s="213">
        <f t="shared" si="27"/>
        <v>4702.6449999999995</v>
      </c>
      <c r="Q136" s="180">
        <v>2942.1689999999999</v>
      </c>
      <c r="R136" s="180">
        <v>348</v>
      </c>
      <c r="S136" s="180">
        <v>5.7190000000000003</v>
      </c>
      <c r="T136" s="159">
        <v>777.65099999999995</v>
      </c>
      <c r="U136" s="159">
        <v>629.10599999999999</v>
      </c>
      <c r="V136" s="5">
        <v>160112</v>
      </c>
      <c r="W136" s="194">
        <v>0</v>
      </c>
      <c r="X136" s="194">
        <v>180</v>
      </c>
      <c r="Y136" s="194">
        <v>0</v>
      </c>
      <c r="Z136" s="194">
        <v>2891</v>
      </c>
      <c r="AA136" s="194">
        <v>267</v>
      </c>
      <c r="AB136" s="194"/>
      <c r="AC136" s="187">
        <v>239</v>
      </c>
      <c r="AD136" s="188">
        <v>0</v>
      </c>
      <c r="AE136" s="213">
        <f t="shared" si="67"/>
        <v>3577</v>
      </c>
      <c r="AF136" s="5">
        <v>103169</v>
      </c>
      <c r="AK136" s="233"/>
      <c r="AO136" s="15">
        <v>228708</v>
      </c>
      <c r="AP136" s="125">
        <f t="shared" si="56"/>
        <v>0.85392973154613006</v>
      </c>
      <c r="AQ136" s="125">
        <v>1.595</v>
      </c>
      <c r="AR136" s="159">
        <v>25775</v>
      </c>
      <c r="AS136" s="159">
        <v>7684</v>
      </c>
      <c r="AT136" s="159"/>
      <c r="AU136" s="101">
        <v>45583</v>
      </c>
      <c r="AV136" s="125">
        <f t="shared" si="48"/>
        <v>0.37622613224806783</v>
      </c>
      <c r="AW136" s="125">
        <f t="shared" si="66"/>
        <v>0.34531232498226488</v>
      </c>
      <c r="AX136" s="125">
        <f t="shared" si="55"/>
        <v>3.0913807265802951E-2</v>
      </c>
      <c r="AY136" s="125">
        <f t="shared" si="57"/>
        <v>1.0336763403897073</v>
      </c>
      <c r="AZ136" s="125">
        <f t="shared" si="58"/>
        <v>1.1992420565283948</v>
      </c>
      <c r="BA136" s="125">
        <f t="shared" si="59"/>
        <v>0.79575547117018086</v>
      </c>
      <c r="BB136" s="125">
        <f t="shared" si="60"/>
        <v>0.93334374841720391</v>
      </c>
      <c r="BC136" s="14">
        <f t="shared" si="43"/>
        <v>276849.53424657532</v>
      </c>
      <c r="BD136" s="14">
        <f t="shared" si="64"/>
        <v>127410</v>
      </c>
      <c r="BE136" s="14">
        <f t="shared" si="65"/>
        <v>149439.53424657535</v>
      </c>
      <c r="BF136" s="14">
        <v>31</v>
      </c>
      <c r="BG136" s="14"/>
      <c r="BH136" s="179">
        <f t="shared" si="61"/>
        <v>0</v>
      </c>
      <c r="BI136" s="179">
        <f t="shared" si="62"/>
        <v>0</v>
      </c>
      <c r="BJ136" s="259">
        <f t="shared" si="46"/>
        <v>1</v>
      </c>
      <c r="BK136" s="14">
        <f t="shared" si="63"/>
        <v>362931.64500000002</v>
      </c>
      <c r="BL136" s="14">
        <f t="shared" si="68"/>
        <v>262167</v>
      </c>
      <c r="BM136" s="262">
        <f t="shared" si="69"/>
        <v>72.235916490555681</v>
      </c>
      <c r="CG136" s="1">
        <v>853478</v>
      </c>
      <c r="CH136" s="1">
        <v>107754</v>
      </c>
      <c r="CI136" s="1">
        <v>147900</v>
      </c>
    </row>
    <row r="137" spans="1:89" x14ac:dyDescent="0.2">
      <c r="A137" s="135">
        <v>42748</v>
      </c>
      <c r="B137" s="5">
        <v>297042</v>
      </c>
      <c r="C137" s="130">
        <v>5213</v>
      </c>
      <c r="D137" s="14">
        <v>13.94</v>
      </c>
      <c r="E137" s="130">
        <v>22743</v>
      </c>
      <c r="F137" s="186">
        <v>4.5499999999999999E-2</v>
      </c>
      <c r="G137" s="165">
        <f t="shared" si="54"/>
        <v>4130</v>
      </c>
      <c r="H137" s="208">
        <v>1382</v>
      </c>
      <c r="I137" s="198">
        <v>2748</v>
      </c>
      <c r="J137" s="216"/>
      <c r="K137" s="216"/>
      <c r="L137" s="216"/>
      <c r="M137" s="130">
        <v>25086</v>
      </c>
      <c r="N137" s="144">
        <v>81983</v>
      </c>
      <c r="O137" s="14">
        <v>0</v>
      </c>
      <c r="P137" s="213">
        <f t="shared" si="27"/>
        <v>6623.8189999999995</v>
      </c>
      <c r="Q137" s="180">
        <v>3862.9059999999999</v>
      </c>
      <c r="R137" s="180">
        <v>99.527000000000001</v>
      </c>
      <c r="S137" s="180">
        <v>6.6479999999999997</v>
      </c>
      <c r="T137" s="159">
        <v>1838.914</v>
      </c>
      <c r="U137" s="159">
        <v>815.82399999999996</v>
      </c>
      <c r="V137" s="5">
        <v>156503</v>
      </c>
      <c r="W137" s="194">
        <v>0</v>
      </c>
      <c r="X137" s="194">
        <v>1</v>
      </c>
      <c r="Y137" s="194">
        <v>0</v>
      </c>
      <c r="Z137" s="194">
        <v>288</v>
      </c>
      <c r="AA137" s="194">
        <v>354</v>
      </c>
      <c r="AB137" s="194"/>
      <c r="AC137" s="187">
        <v>1876</v>
      </c>
      <c r="AD137" s="188">
        <v>0</v>
      </c>
      <c r="AE137" s="213">
        <f t="shared" si="67"/>
        <v>2519</v>
      </c>
      <c r="AF137" s="5">
        <v>90864</v>
      </c>
      <c r="AK137" s="233"/>
      <c r="AO137" s="15">
        <v>228708</v>
      </c>
      <c r="AP137" s="125">
        <f t="shared" si="56"/>
        <v>0.76995172399862644</v>
      </c>
      <c r="AQ137" s="125">
        <v>1.582741935</v>
      </c>
      <c r="AR137" s="159">
        <v>33142</v>
      </c>
      <c r="AS137" s="159">
        <v>12573</v>
      </c>
      <c r="AT137" s="159"/>
      <c r="AU137" s="101">
        <v>45583</v>
      </c>
      <c r="AV137" s="125">
        <f t="shared" si="48"/>
        <v>0.40513401808498462</v>
      </c>
      <c r="AW137" s="125">
        <f t="shared" si="66"/>
        <v>0.37435446839167524</v>
      </c>
      <c r="AX137" s="125">
        <f t="shared" si="55"/>
        <v>3.0779549693309372E-2</v>
      </c>
      <c r="AY137" s="125">
        <f t="shared" si="57"/>
        <v>0.9320215129395012</v>
      </c>
      <c r="AZ137" s="125">
        <f t="shared" si="58"/>
        <v>1.1443061923903017</v>
      </c>
      <c r="BA137" s="125">
        <f t="shared" si="59"/>
        <v>0.81410579988882004</v>
      </c>
      <c r="BB137" s="125">
        <f t="shared" si="60"/>
        <v>0.95486689869571417</v>
      </c>
      <c r="BC137" s="14">
        <f t="shared" si="43"/>
        <v>276849.53424657532</v>
      </c>
      <c r="BD137" s="14">
        <f t="shared" si="64"/>
        <v>127410</v>
      </c>
      <c r="BE137" s="14">
        <f t="shared" si="65"/>
        <v>149439.53424657535</v>
      </c>
      <c r="BF137" s="14">
        <v>31</v>
      </c>
      <c r="BG137" s="14"/>
      <c r="BH137" s="179">
        <f t="shared" si="61"/>
        <v>0</v>
      </c>
      <c r="BI137" s="179">
        <f t="shared" si="62"/>
        <v>0</v>
      </c>
      <c r="BJ137" s="259">
        <f t="shared" si="46"/>
        <v>1</v>
      </c>
      <c r="BK137" s="14">
        <f t="shared" si="63"/>
        <v>394764.81900000002</v>
      </c>
      <c r="BL137" s="14">
        <f t="shared" si="68"/>
        <v>274423</v>
      </c>
      <c r="BM137" s="262">
        <f t="shared" si="69"/>
        <v>69.515566431465615</v>
      </c>
      <c r="CH137" s="1">
        <v>85755</v>
      </c>
    </row>
    <row r="138" spans="1:89" x14ac:dyDescent="0.2">
      <c r="A138" s="135">
        <v>42780</v>
      </c>
      <c r="B138" s="5">
        <v>262326</v>
      </c>
      <c r="C138" s="130">
        <v>4948</v>
      </c>
      <c r="D138" s="14">
        <v>13.38</v>
      </c>
      <c r="E138" s="130">
        <v>17243</v>
      </c>
      <c r="F138" s="186">
        <v>5.6399999999999999E-2</v>
      </c>
      <c r="G138" s="165">
        <f t="shared" si="54"/>
        <v>3237</v>
      </c>
      <c r="H138" s="208">
        <v>1227</v>
      </c>
      <c r="I138" s="198">
        <v>2010</v>
      </c>
      <c r="J138" s="216"/>
      <c r="K138" s="216"/>
      <c r="L138" s="216"/>
      <c r="M138" s="130">
        <v>46569</v>
      </c>
      <c r="N138" s="144">
        <v>47409</v>
      </c>
      <c r="O138" s="14">
        <v>0</v>
      </c>
      <c r="P138" s="213">
        <f t="shared" si="27"/>
        <v>5816.67</v>
      </c>
      <c r="Q138" s="180">
        <v>3020.21</v>
      </c>
      <c r="R138" s="180">
        <v>59.279000000000003</v>
      </c>
      <c r="S138" s="180">
        <v>92.561999999999998</v>
      </c>
      <c r="T138" s="159">
        <v>1332.5060000000001</v>
      </c>
      <c r="U138" s="159">
        <v>1312.1130000000001</v>
      </c>
      <c r="V138" s="5">
        <v>205037</v>
      </c>
      <c r="W138" s="194">
        <v>0</v>
      </c>
      <c r="X138" s="194">
        <v>115</v>
      </c>
      <c r="Y138" s="194">
        <v>1155</v>
      </c>
      <c r="Z138" s="194">
        <v>357</v>
      </c>
      <c r="AA138" s="194">
        <v>1671</v>
      </c>
      <c r="AB138" s="194"/>
      <c r="AC138" s="187">
        <v>1025</v>
      </c>
      <c r="AD138" s="188">
        <v>0</v>
      </c>
      <c r="AE138" s="213">
        <f t="shared" si="67"/>
        <v>4323</v>
      </c>
      <c r="AF138" s="5">
        <v>121866</v>
      </c>
      <c r="AK138" s="233"/>
      <c r="AO138" s="15">
        <v>162430</v>
      </c>
      <c r="AP138" s="125">
        <f t="shared" si="56"/>
        <v>0.61919138781516125</v>
      </c>
      <c r="AQ138" s="125">
        <v>1.5822181818000001</v>
      </c>
      <c r="AR138" s="159">
        <v>34520</v>
      </c>
      <c r="AS138" s="159">
        <v>10312</v>
      </c>
      <c r="AT138" s="159"/>
      <c r="AU138" s="101">
        <v>45583</v>
      </c>
      <c r="AV138" s="125">
        <f t="shared" si="48"/>
        <v>0.40924144004025526</v>
      </c>
      <c r="AW138" s="125">
        <f t="shared" si="66"/>
        <v>0.3705885043800462</v>
      </c>
      <c r="AX138" s="125">
        <f t="shared" si="55"/>
        <v>3.8652935660209053E-2</v>
      </c>
      <c r="AY138" s="125">
        <f t="shared" si="57"/>
        <v>0.95323240485356553</v>
      </c>
      <c r="AZ138" s="125">
        <f t="shared" si="58"/>
        <v>0.98977989219520746</v>
      </c>
      <c r="BA138" s="125">
        <f t="shared" si="59"/>
        <v>0.56126455225154481</v>
      </c>
      <c r="BB138" s="125">
        <f t="shared" si="60"/>
        <v>0.65830871421068604</v>
      </c>
      <c r="BC138" s="14">
        <f t="shared" si="43"/>
        <v>250057.64383561644</v>
      </c>
      <c r="BD138" s="14">
        <f t="shared" si="64"/>
        <v>115080</v>
      </c>
      <c r="BE138" s="14">
        <f t="shared" si="65"/>
        <v>134977.64383561644</v>
      </c>
      <c r="BF138" s="14">
        <v>28</v>
      </c>
      <c r="BG138" s="14"/>
      <c r="BH138" s="179">
        <f t="shared" si="61"/>
        <v>0</v>
      </c>
      <c r="BI138" s="179">
        <f t="shared" si="62"/>
        <v>0</v>
      </c>
      <c r="BJ138" s="259">
        <f t="shared" si="46"/>
        <v>1</v>
      </c>
      <c r="BK138" s="14">
        <f t="shared" si="63"/>
        <v>314616.67</v>
      </c>
      <c r="BL138" s="14">
        <f t="shared" si="68"/>
        <v>207262</v>
      </c>
      <c r="BM138" s="262">
        <f t="shared" si="69"/>
        <v>65.877628162550963</v>
      </c>
      <c r="CG138" s="1">
        <f>SUM(CG135:CG136)</f>
        <v>1644688</v>
      </c>
      <c r="CH138" s="1">
        <f>SUM(CH135:CH137)</f>
        <v>221252</v>
      </c>
      <c r="CI138" s="1">
        <f>SUM(CI135:CI136)</f>
        <v>541619</v>
      </c>
      <c r="CJ138" s="1">
        <f>SUM(CG138:CI138)</f>
        <v>2407559</v>
      </c>
      <c r="CK138" s="1">
        <f>CJ138/1000</f>
        <v>2407.5590000000002</v>
      </c>
    </row>
    <row r="139" spans="1:89" x14ac:dyDescent="0.2">
      <c r="A139" s="135">
        <v>42809</v>
      </c>
      <c r="B139" s="5">
        <v>308552.84000000003</v>
      </c>
      <c r="C139" s="130">
        <v>6168.79</v>
      </c>
      <c r="D139" s="14">
        <v>13.9</v>
      </c>
      <c r="E139" s="130">
        <v>29065.8</v>
      </c>
      <c r="F139" s="186">
        <v>4.7399999999999998E-2</v>
      </c>
      <c r="G139" s="165">
        <f t="shared" si="54"/>
        <v>2444</v>
      </c>
      <c r="H139" s="208">
        <v>887</v>
      </c>
      <c r="I139" s="198">
        <v>1557</v>
      </c>
      <c r="J139" s="216"/>
      <c r="K139" s="216"/>
      <c r="L139" s="216"/>
      <c r="M139" s="130">
        <v>49564</v>
      </c>
      <c r="N139" s="144">
        <v>59596</v>
      </c>
      <c r="O139" s="14">
        <v>0</v>
      </c>
      <c r="P139" s="213">
        <f t="shared" si="27"/>
        <v>7459.1539999999995</v>
      </c>
      <c r="Q139" s="180">
        <v>4096.8950000000004</v>
      </c>
      <c r="R139" s="180">
        <v>671.87300000000005</v>
      </c>
      <c r="S139" s="180">
        <v>982</v>
      </c>
      <c r="T139" s="159">
        <v>1415.24</v>
      </c>
      <c r="U139" s="159">
        <v>293.14600000000002</v>
      </c>
      <c r="V139" s="5">
        <v>205193</v>
      </c>
      <c r="W139" s="194">
        <v>0</v>
      </c>
      <c r="X139" s="194">
        <v>158</v>
      </c>
      <c r="Y139" s="194">
        <v>1</v>
      </c>
      <c r="Z139" s="194">
        <v>3716</v>
      </c>
      <c r="AA139" s="194">
        <v>588</v>
      </c>
      <c r="AB139" s="194"/>
      <c r="AC139" s="187">
        <v>465</v>
      </c>
      <c r="AD139" s="188">
        <v>0</v>
      </c>
      <c r="AE139" s="213">
        <f t="shared" si="67"/>
        <v>4928</v>
      </c>
      <c r="AF139" s="5">
        <v>136189</v>
      </c>
      <c r="AK139" s="233"/>
      <c r="AO139" s="15">
        <v>218665</v>
      </c>
      <c r="AP139" s="125">
        <f t="shared" si="56"/>
        <v>0.70867926543797155</v>
      </c>
      <c r="AQ139" s="125">
        <v>1.641129032</v>
      </c>
      <c r="AR139" s="159">
        <v>37636</v>
      </c>
      <c r="AS139" s="159">
        <v>12122</v>
      </c>
      <c r="AT139" s="159"/>
      <c r="AU139" s="101">
        <v>45583</v>
      </c>
      <c r="AV139" s="125">
        <f t="shared" si="48"/>
        <v>0.40184739184380863</v>
      </c>
      <c r="AW139" s="125">
        <f t="shared" si="66"/>
        <v>0.36170141879102452</v>
      </c>
      <c r="AX139" s="125">
        <f t="shared" si="55"/>
        <v>4.0145973052784112E-2</v>
      </c>
      <c r="AY139" s="125">
        <f t="shared" si="57"/>
        <v>0.8972516157899415</v>
      </c>
      <c r="AZ139" s="125">
        <f t="shared" si="58"/>
        <v>1.0703806842289962</v>
      </c>
      <c r="BA139" s="125">
        <f t="shared" si="59"/>
        <v>0.62092761448977307</v>
      </c>
      <c r="BB139" s="125">
        <f t="shared" si="60"/>
        <v>0.7282876815806355</v>
      </c>
      <c r="BC139" s="14">
        <f t="shared" si="43"/>
        <v>276849.53424657532</v>
      </c>
      <c r="BD139" s="14">
        <f t="shared" si="64"/>
        <v>127410</v>
      </c>
      <c r="BE139" s="14">
        <f t="shared" si="65"/>
        <v>149439.53424657535</v>
      </c>
      <c r="BF139" s="14">
        <v>31</v>
      </c>
      <c r="BG139" s="14"/>
      <c r="BH139" s="179">
        <f t="shared" si="61"/>
        <v>0</v>
      </c>
      <c r="BI139" s="179">
        <f t="shared" si="62"/>
        <v>0</v>
      </c>
      <c r="BJ139" s="259">
        <f t="shared" si="46"/>
        <v>1</v>
      </c>
      <c r="BK139" s="14">
        <f t="shared" si="63"/>
        <v>392414.15399999998</v>
      </c>
      <c r="BL139" s="14">
        <f t="shared" si="68"/>
        <v>268423</v>
      </c>
      <c r="BM139" s="262">
        <f t="shared" si="69"/>
        <v>68.402986300030349</v>
      </c>
    </row>
    <row r="140" spans="1:89" x14ac:dyDescent="0.2">
      <c r="A140" s="135">
        <v>42841</v>
      </c>
      <c r="B140" s="5">
        <v>291518.33</v>
      </c>
      <c r="C140" s="130">
        <v>5571.11</v>
      </c>
      <c r="D140" s="14">
        <v>13.17</v>
      </c>
      <c r="E140" s="130">
        <v>24331.94</v>
      </c>
      <c r="F140" s="186">
        <v>4.7500000000000001E-2</v>
      </c>
      <c r="G140" s="165">
        <f t="shared" si="54"/>
        <v>2750</v>
      </c>
      <c r="H140" s="208">
        <v>1441</v>
      </c>
      <c r="I140" s="198">
        <v>1309</v>
      </c>
      <c r="J140" s="216"/>
      <c r="K140" s="216"/>
      <c r="L140" s="216"/>
      <c r="M140" s="130">
        <v>25796</v>
      </c>
      <c r="N140" s="144">
        <v>138699</v>
      </c>
      <c r="O140" s="14">
        <v>0</v>
      </c>
      <c r="P140" s="213">
        <f t="shared" si="27"/>
        <v>7636.2250000000004</v>
      </c>
      <c r="Q140" s="180">
        <v>4321.3540000000003</v>
      </c>
      <c r="R140" s="180">
        <v>594.57600000000002</v>
      </c>
      <c r="S140" s="180">
        <v>782.30100000000004</v>
      </c>
      <c r="T140" s="159">
        <v>1937.9939999999999</v>
      </c>
      <c r="U140" s="159">
        <v>0</v>
      </c>
      <c r="V140" s="5">
        <v>191584</v>
      </c>
      <c r="W140" s="194">
        <v>0</v>
      </c>
      <c r="X140" s="194">
        <v>152</v>
      </c>
      <c r="Y140" s="194">
        <v>1247</v>
      </c>
      <c r="Z140" s="194">
        <v>2797</v>
      </c>
      <c r="AA140" s="194">
        <v>32</v>
      </c>
      <c r="AB140" s="194"/>
      <c r="AC140" s="187">
        <v>29</v>
      </c>
      <c r="AD140" s="188">
        <v>0</v>
      </c>
      <c r="AE140" s="213">
        <f t="shared" ref="AE140:AE152" si="70">SUM(W140:AD140)</f>
        <v>4257</v>
      </c>
      <c r="AF140" s="5">
        <v>119965</v>
      </c>
      <c r="AK140" s="233"/>
      <c r="AO140" s="15">
        <v>99687</v>
      </c>
      <c r="AP140" s="125">
        <f t="shared" si="56"/>
        <v>0.3419579139328906</v>
      </c>
      <c r="AQ140" s="125">
        <v>1.6306666670000001</v>
      </c>
      <c r="AR140" s="159">
        <v>35163</v>
      </c>
      <c r="AS140" s="159">
        <v>11235</v>
      </c>
      <c r="AT140" s="159"/>
      <c r="AU140" s="101">
        <v>45583</v>
      </c>
      <c r="AV140" s="125">
        <f t="shared" si="48"/>
        <v>0.6145007245341999</v>
      </c>
      <c r="AW140" s="125">
        <f t="shared" si="66"/>
        <v>0.57370320418616561</v>
      </c>
      <c r="AX140" s="125">
        <f t="shared" si="55"/>
        <v>4.07975203480343E-2</v>
      </c>
      <c r="AY140" s="125">
        <f t="shared" si="57"/>
        <v>0.91904651110477009</v>
      </c>
      <c r="AZ140" s="125">
        <f t="shared" si="58"/>
        <v>0.91566111811905615</v>
      </c>
      <c r="BA140" s="125">
        <f t="shared" si="59"/>
        <v>0.64358192750960419</v>
      </c>
      <c r="BB140" s="125">
        <f t="shared" si="60"/>
        <v>0.75485898670864493</v>
      </c>
      <c r="BC140" s="14">
        <f t="shared" si="43"/>
        <v>267918.90410958906</v>
      </c>
      <c r="BD140" s="14">
        <f t="shared" si="64"/>
        <v>123300</v>
      </c>
      <c r="BE140" s="14">
        <f t="shared" si="65"/>
        <v>144618.90410958903</v>
      </c>
      <c r="BF140" s="14">
        <v>30</v>
      </c>
      <c r="BG140" s="14"/>
      <c r="BH140" s="179">
        <f t="shared" si="61"/>
        <v>0</v>
      </c>
      <c r="BI140" s="179">
        <f t="shared" si="62"/>
        <v>0</v>
      </c>
      <c r="BJ140" s="259">
        <f t="shared" si="46"/>
        <v>1</v>
      </c>
      <c r="BK140" s="14">
        <f t="shared" si="63"/>
        <v>325223.22499999998</v>
      </c>
      <c r="BL140" s="14">
        <f t="shared" si="68"/>
        <v>146085</v>
      </c>
      <c r="BM140" s="262">
        <f t="shared" si="69"/>
        <v>44.918378753546897</v>
      </c>
    </row>
    <row r="141" spans="1:89" x14ac:dyDescent="0.2">
      <c r="A141" s="135">
        <v>42872</v>
      </c>
      <c r="B141" s="5">
        <v>304067</v>
      </c>
      <c r="C141" s="130">
        <v>6900.3</v>
      </c>
      <c r="D141" s="14">
        <v>13.66</v>
      </c>
      <c r="E141" s="130">
        <v>23039</v>
      </c>
      <c r="F141" s="186">
        <v>4.4400000000000002E-2</v>
      </c>
      <c r="G141" s="165">
        <f t="shared" si="54"/>
        <v>3026</v>
      </c>
      <c r="H141" s="208">
        <v>1603</v>
      </c>
      <c r="I141" s="198">
        <v>1423</v>
      </c>
      <c r="J141" s="216"/>
      <c r="K141" s="216"/>
      <c r="L141" s="216"/>
      <c r="M141" s="130">
        <v>62855</v>
      </c>
      <c r="N141" s="144">
        <v>109517</v>
      </c>
      <c r="O141" s="14">
        <v>0</v>
      </c>
      <c r="P141" s="213">
        <f t="shared" si="27"/>
        <v>9357.2849999999999</v>
      </c>
      <c r="Q141" s="180">
        <v>4955.0839999999998</v>
      </c>
      <c r="R141" s="180">
        <v>685.88499999999999</v>
      </c>
      <c r="S141" s="180">
        <v>600.98800000000006</v>
      </c>
      <c r="T141" s="159">
        <v>1992</v>
      </c>
      <c r="U141" s="159">
        <v>1123.328</v>
      </c>
      <c r="V141" s="5">
        <v>187760</v>
      </c>
      <c r="W141" s="194">
        <v>0</v>
      </c>
      <c r="X141" s="194">
        <v>159</v>
      </c>
      <c r="Y141" s="194">
        <v>1919</v>
      </c>
      <c r="Z141" s="194">
        <v>2651</v>
      </c>
      <c r="AA141" s="194">
        <v>6</v>
      </c>
      <c r="AB141" s="194"/>
      <c r="AC141" s="187">
        <v>5</v>
      </c>
      <c r="AD141" s="188">
        <v>0</v>
      </c>
      <c r="AE141" s="213">
        <f t="shared" si="70"/>
        <v>4740</v>
      </c>
      <c r="AF141" s="5">
        <v>129957</v>
      </c>
      <c r="AK141" s="233"/>
      <c r="AO141" s="15">
        <v>121781</v>
      </c>
      <c r="AP141" s="125">
        <f t="shared" si="56"/>
        <v>0.40050712507440794</v>
      </c>
      <c r="AQ141" s="125">
        <v>1.658064516</v>
      </c>
      <c r="AR141" s="159">
        <v>43877</v>
      </c>
      <c r="AS141" s="159">
        <v>11901</v>
      </c>
      <c r="AT141" s="159"/>
      <c r="AU141" s="101">
        <v>45583</v>
      </c>
      <c r="AV141" s="125">
        <f t="shared" si="48"/>
        <v>0.62320240275991801</v>
      </c>
      <c r="AW141" s="125">
        <f t="shared" si="66"/>
        <v>0.57683997276915944</v>
      </c>
      <c r="AX141" s="125">
        <f t="shared" si="55"/>
        <v>4.6362429990758569E-2</v>
      </c>
      <c r="AY141" s="125">
        <f t="shared" si="57"/>
        <v>0.91048859049675013</v>
      </c>
      <c r="AZ141" s="125">
        <f t="shared" si="58"/>
        <v>0.97734709784356733</v>
      </c>
      <c r="BA141" s="125">
        <f t="shared" si="59"/>
        <v>0.67857903706859823</v>
      </c>
      <c r="BB141" s="125">
        <f t="shared" si="60"/>
        <v>0.79590719134307275</v>
      </c>
      <c r="BC141" s="14">
        <f t="shared" si="43"/>
        <v>276849.53424657532</v>
      </c>
      <c r="BD141" s="14">
        <f t="shared" si="64"/>
        <v>127410</v>
      </c>
      <c r="BE141" s="14">
        <f t="shared" si="65"/>
        <v>149439.53424657535</v>
      </c>
      <c r="BF141" s="14">
        <v>31</v>
      </c>
      <c r="BG141" s="14"/>
      <c r="BH141" s="179">
        <f t="shared" si="61"/>
        <v>0</v>
      </c>
      <c r="BI141" s="179">
        <f t="shared" si="62"/>
        <v>0</v>
      </c>
      <c r="BJ141" s="259">
        <f t="shared" si="46"/>
        <v>1</v>
      </c>
      <c r="BK141" s="14">
        <f t="shared" si="63"/>
        <v>367054.28500000003</v>
      </c>
      <c r="BL141" s="14">
        <f t="shared" si="68"/>
        <v>177559</v>
      </c>
      <c r="BM141" s="262">
        <f t="shared" si="69"/>
        <v>48.374043637714237</v>
      </c>
    </row>
    <row r="142" spans="1:89" x14ac:dyDescent="0.2">
      <c r="A142" s="135">
        <v>42904</v>
      </c>
      <c r="B142" s="5">
        <v>290068</v>
      </c>
      <c r="C142" s="130">
        <v>5952</v>
      </c>
      <c r="D142" s="14">
        <v>12.25</v>
      </c>
      <c r="E142" s="130">
        <v>22655</v>
      </c>
      <c r="F142" s="186">
        <v>4.6199999999999998E-2</v>
      </c>
      <c r="G142" s="165">
        <f t="shared" si="54"/>
        <v>3848</v>
      </c>
      <c r="H142" s="208">
        <v>1526</v>
      </c>
      <c r="I142" s="198">
        <v>2322</v>
      </c>
      <c r="J142" s="216"/>
      <c r="K142" s="216"/>
      <c r="L142" s="216"/>
      <c r="M142" s="130">
        <v>25410</v>
      </c>
      <c r="N142" s="144">
        <v>86085</v>
      </c>
      <c r="O142" s="14">
        <v>0</v>
      </c>
      <c r="P142" s="213">
        <f t="shared" si="27"/>
        <v>10210.071</v>
      </c>
      <c r="Q142" s="180">
        <v>5374.116</v>
      </c>
      <c r="R142" s="180">
        <v>550.31799999999998</v>
      </c>
      <c r="S142" s="180">
        <v>671.66499999999996</v>
      </c>
      <c r="T142" s="159">
        <v>1947</v>
      </c>
      <c r="U142" s="159">
        <v>1666.972</v>
      </c>
      <c r="V142" s="5">
        <v>183276</v>
      </c>
      <c r="W142" s="194">
        <v>0</v>
      </c>
      <c r="X142" s="194">
        <v>155</v>
      </c>
      <c r="Y142" s="194">
        <v>1867</v>
      </c>
      <c r="Z142" s="194">
        <v>2768</v>
      </c>
      <c r="AA142" s="194">
        <v>36</v>
      </c>
      <c r="AB142" s="194"/>
      <c r="AC142" s="187">
        <v>29</v>
      </c>
      <c r="AD142" s="188">
        <v>0</v>
      </c>
      <c r="AE142" s="213">
        <f t="shared" si="70"/>
        <v>4855</v>
      </c>
      <c r="AF142" s="5">
        <v>134888</v>
      </c>
      <c r="AK142" s="233"/>
      <c r="AO142" s="15">
        <v>189659</v>
      </c>
      <c r="AP142" s="125">
        <f t="shared" ref="AP142:AP173" si="71">AO142/B142</f>
        <v>0.65384323675827738</v>
      </c>
      <c r="AQ142" s="125">
        <v>1.5896666669999999</v>
      </c>
      <c r="AR142" s="159">
        <v>36769</v>
      </c>
      <c r="AS142" s="159">
        <v>22928</v>
      </c>
      <c r="AT142" s="159"/>
      <c r="AU142" s="101">
        <v>45583</v>
      </c>
      <c r="AV142" s="125">
        <f t="shared" si="48"/>
        <v>0.44957758525587105</v>
      </c>
      <c r="AW142" s="125">
        <f t="shared" si="66"/>
        <v>0.39764124274308094</v>
      </c>
      <c r="AX142" s="125">
        <f t="shared" si="55"/>
        <v>5.1936342512790112E-2</v>
      </c>
      <c r="AY142" s="125">
        <f t="shared" ref="AY142:AY173" si="72">BC142/B142</f>
        <v>0.92364171197646439</v>
      </c>
      <c r="AZ142" s="125">
        <f t="shared" ref="AZ142:AZ173" si="73">(M142+N142+G142+AO142)/B142</f>
        <v>1.0514844795013583</v>
      </c>
      <c r="BA142" s="125">
        <f t="shared" ref="BA142:BA173" si="74">BD142/V142</f>
        <v>0.67275584364564922</v>
      </c>
      <c r="BB142" s="125">
        <f t="shared" ref="BB142:BB173" si="75">BE142/V142</f>
        <v>0.78907715199801953</v>
      </c>
      <c r="BC142" s="14">
        <f t="shared" si="43"/>
        <v>267918.90410958906</v>
      </c>
      <c r="BD142" s="14">
        <f t="shared" si="64"/>
        <v>123300</v>
      </c>
      <c r="BE142" s="14">
        <f t="shared" si="65"/>
        <v>144618.90410958903</v>
      </c>
      <c r="BF142" s="14">
        <v>30</v>
      </c>
      <c r="BG142" s="14"/>
      <c r="BH142" s="179">
        <f t="shared" si="61"/>
        <v>0</v>
      </c>
      <c r="BI142" s="179">
        <f t="shared" si="62"/>
        <v>0</v>
      </c>
      <c r="BJ142" s="259">
        <f t="shared" si="46"/>
        <v>1</v>
      </c>
      <c r="BK142" s="14">
        <f t="shared" si="63"/>
        <v>379764.071</v>
      </c>
      <c r="BL142" s="14">
        <f t="shared" si="68"/>
        <v>249356</v>
      </c>
      <c r="BM142" s="262">
        <f t="shared" si="69"/>
        <v>65.660766523645151</v>
      </c>
    </row>
    <row r="143" spans="1:89" x14ac:dyDescent="0.2">
      <c r="A143" s="135">
        <v>42935</v>
      </c>
      <c r="B143" s="5">
        <v>252463</v>
      </c>
      <c r="C143" s="130">
        <v>5819</v>
      </c>
      <c r="D143" s="14">
        <v>12.06</v>
      </c>
      <c r="E143" s="130">
        <v>141418</v>
      </c>
      <c r="F143" s="186">
        <v>3.9800000000000002E-2</v>
      </c>
      <c r="G143" s="165">
        <f t="shared" si="54"/>
        <v>2820</v>
      </c>
      <c r="H143" s="208">
        <v>1410</v>
      </c>
      <c r="I143" s="198">
        <v>1410</v>
      </c>
      <c r="J143" s="216"/>
      <c r="K143" s="216"/>
      <c r="L143" s="216"/>
      <c r="M143" s="130">
        <v>20833</v>
      </c>
      <c r="N143" s="144">
        <v>101656</v>
      </c>
      <c r="O143" s="14">
        <v>0</v>
      </c>
      <c r="P143" s="213">
        <f t="shared" si="27"/>
        <v>9663.9419999999991</v>
      </c>
      <c r="Q143" s="180">
        <v>4612.55</v>
      </c>
      <c r="R143" s="180">
        <v>510.69900000000001</v>
      </c>
      <c r="S143" s="180">
        <v>990.25900000000001</v>
      </c>
      <c r="T143" s="159">
        <v>1926.374</v>
      </c>
      <c r="U143" s="159">
        <v>1624.06</v>
      </c>
      <c r="V143" s="5">
        <v>204713</v>
      </c>
      <c r="W143" s="194">
        <v>0</v>
      </c>
      <c r="X143" s="194">
        <v>173</v>
      </c>
      <c r="Y143" s="194">
        <v>2180</v>
      </c>
      <c r="Z143" s="194">
        <v>4010</v>
      </c>
      <c r="AA143" s="194">
        <v>0</v>
      </c>
      <c r="AB143" s="194"/>
      <c r="AC143" s="187">
        <v>0</v>
      </c>
      <c r="AD143" s="188">
        <v>0</v>
      </c>
      <c r="AE143" s="213">
        <f t="shared" si="70"/>
        <v>6363</v>
      </c>
      <c r="AF143" s="5">
        <v>141149</v>
      </c>
      <c r="AK143" s="233"/>
      <c r="AO143" s="15">
        <v>176744</v>
      </c>
      <c r="AP143" s="125">
        <f t="shared" si="71"/>
        <v>0.70007882343155237</v>
      </c>
      <c r="AQ143" s="125">
        <v>1.4341935480000001</v>
      </c>
      <c r="AR143" s="159">
        <v>32438</v>
      </c>
      <c r="AS143" s="159">
        <v>10906</v>
      </c>
      <c r="AT143" s="159"/>
      <c r="AU143" s="101">
        <v>45583</v>
      </c>
      <c r="AV143" s="125">
        <f t="shared" si="48"/>
        <v>0.55982833920218011</v>
      </c>
      <c r="AW143" s="125">
        <f t="shared" si="66"/>
        <v>0.49634599921572664</v>
      </c>
      <c r="AX143" s="125">
        <f t="shared" si="55"/>
        <v>6.3482339986453473E-2</v>
      </c>
      <c r="AY143" s="125">
        <f t="shared" si="72"/>
        <v>1.0965944880896421</v>
      </c>
      <c r="AZ143" s="125">
        <f t="shared" si="73"/>
        <v>1.1964248226472791</v>
      </c>
      <c r="BA143" s="125">
        <f t="shared" si="74"/>
        <v>0.62238353206684482</v>
      </c>
      <c r="BB143" s="125">
        <f t="shared" si="75"/>
        <v>0.72999533125192517</v>
      </c>
      <c r="BC143" s="14">
        <f t="shared" si="43"/>
        <v>276849.53424657532</v>
      </c>
      <c r="BD143" s="14">
        <f t="shared" si="64"/>
        <v>127410</v>
      </c>
      <c r="BE143" s="14">
        <f t="shared" si="65"/>
        <v>149439.53424657535</v>
      </c>
      <c r="BF143" s="14">
        <v>31</v>
      </c>
      <c r="BG143" s="14"/>
      <c r="BH143" s="179">
        <f t="shared" ref="BH143:BH174" si="76">O143/(M143+N143)</f>
        <v>0</v>
      </c>
      <c r="BI143" s="179">
        <f t="shared" ref="BI143:BI174" si="77">AD143/(M143+N143)</f>
        <v>0</v>
      </c>
      <c r="BJ143" s="259">
        <f t="shared" si="46"/>
        <v>1</v>
      </c>
      <c r="BK143" s="14">
        <f t="shared" si="63"/>
        <v>361423.94200000004</v>
      </c>
      <c r="BL143" s="14">
        <f t="shared" si="68"/>
        <v>220088</v>
      </c>
      <c r="BM143" s="262">
        <f t="shared" si="69"/>
        <v>60.894693025068044</v>
      </c>
    </row>
    <row r="144" spans="1:89" x14ac:dyDescent="0.2">
      <c r="A144" s="135">
        <v>42966</v>
      </c>
      <c r="B144" s="5">
        <v>310747</v>
      </c>
      <c r="C144" s="130">
        <v>7225</v>
      </c>
      <c r="D144" s="14">
        <v>13</v>
      </c>
      <c r="E144" s="130">
        <v>21574</v>
      </c>
      <c r="F144" s="186">
        <v>4.3400000000000001E-2</v>
      </c>
      <c r="G144" s="165">
        <f t="shared" si="54"/>
        <v>2856</v>
      </c>
      <c r="H144" s="208">
        <v>1181</v>
      </c>
      <c r="I144" s="198">
        <v>1675</v>
      </c>
      <c r="J144" s="216"/>
      <c r="K144" s="216"/>
      <c r="L144" s="216"/>
      <c r="M144" s="130">
        <v>22648</v>
      </c>
      <c r="N144" s="144">
        <v>87886</v>
      </c>
      <c r="O144" s="14">
        <v>0</v>
      </c>
      <c r="P144" s="213">
        <f t="shared" si="27"/>
        <v>9847.3970000000008</v>
      </c>
      <c r="Q144" s="180">
        <v>5094.8029999999999</v>
      </c>
      <c r="R144" s="180">
        <v>470.20499999999998</v>
      </c>
      <c r="S144" s="180">
        <v>944.44100000000003</v>
      </c>
      <c r="T144" s="159">
        <v>1741.829</v>
      </c>
      <c r="U144" s="159">
        <v>1596.1189999999999</v>
      </c>
      <c r="V144" s="5">
        <v>198150</v>
      </c>
      <c r="W144" s="194">
        <v>0</v>
      </c>
      <c r="X144" s="194">
        <v>165</v>
      </c>
      <c r="Y144" s="194">
        <v>1930</v>
      </c>
      <c r="Z144" s="194">
        <v>3004</v>
      </c>
      <c r="AA144" s="194">
        <v>0</v>
      </c>
      <c r="AB144" s="194"/>
      <c r="AC144" s="187">
        <v>0</v>
      </c>
      <c r="AD144" s="188">
        <v>0</v>
      </c>
      <c r="AE144" s="213">
        <f t="shared" si="70"/>
        <v>5099</v>
      </c>
      <c r="AF144" s="5">
        <v>141882</v>
      </c>
      <c r="AK144" s="233"/>
      <c r="AO144" s="15">
        <v>195787</v>
      </c>
      <c r="AP144" s="125">
        <f t="shared" si="71"/>
        <v>0.63005274387202448</v>
      </c>
      <c r="AQ144" s="125">
        <v>1.6530645159999999</v>
      </c>
      <c r="AR144" s="159">
        <v>33290</v>
      </c>
      <c r="AS144" s="159">
        <v>13947</v>
      </c>
      <c r="AT144" s="159"/>
      <c r="AU144" s="101">
        <v>45583</v>
      </c>
      <c r="AV144" s="125">
        <f t="shared" si="48"/>
        <v>0.41299319703810494</v>
      </c>
      <c r="AW144" s="125">
        <f t="shared" si="66"/>
        <v>0.36489491451244904</v>
      </c>
      <c r="AX144" s="125">
        <f t="shared" si="55"/>
        <v>4.80982825256559E-2</v>
      </c>
      <c r="AY144" s="125">
        <f t="shared" si="72"/>
        <v>0.89091619306566217</v>
      </c>
      <c r="AZ144" s="125">
        <f t="shared" si="73"/>
        <v>0.99494765838447352</v>
      </c>
      <c r="BA144" s="125">
        <f t="shared" si="74"/>
        <v>0.64299772899318697</v>
      </c>
      <c r="BB144" s="125">
        <f t="shared" si="75"/>
        <v>0.75417377868571966</v>
      </c>
      <c r="BC144" s="14">
        <f t="shared" si="43"/>
        <v>276849.53424657532</v>
      </c>
      <c r="BD144" s="14">
        <f t="shared" si="64"/>
        <v>127410</v>
      </c>
      <c r="BE144" s="14">
        <f t="shared" si="65"/>
        <v>149439.53424657535</v>
      </c>
      <c r="BF144" s="14">
        <v>31</v>
      </c>
      <c r="BG144" s="14"/>
      <c r="BH144" s="179">
        <f t="shared" si="76"/>
        <v>0</v>
      </c>
      <c r="BI144" s="179">
        <f t="shared" si="77"/>
        <v>0</v>
      </c>
      <c r="BJ144" s="259">
        <f t="shared" si="46"/>
        <v>1</v>
      </c>
      <c r="BK144" s="14">
        <f t="shared" si="63"/>
        <v>371360.397</v>
      </c>
      <c r="BL144" s="14">
        <f t="shared" si="68"/>
        <v>243024</v>
      </c>
      <c r="BM144" s="262">
        <f t="shared" si="69"/>
        <v>65.441550031518304</v>
      </c>
    </row>
    <row r="145" spans="1:65" x14ac:dyDescent="0.2">
      <c r="A145" s="135">
        <v>42998</v>
      </c>
      <c r="B145" s="5">
        <v>289036</v>
      </c>
      <c r="C145" s="130">
        <v>5333</v>
      </c>
      <c r="D145" s="14">
        <v>15.55</v>
      </c>
      <c r="E145" s="130">
        <v>22908</v>
      </c>
      <c r="F145" s="186">
        <v>4.0800000000000003E-2</v>
      </c>
      <c r="G145" s="165">
        <f t="shared" si="54"/>
        <v>2841</v>
      </c>
      <c r="H145" s="208">
        <v>973</v>
      </c>
      <c r="I145" s="198">
        <v>1868</v>
      </c>
      <c r="J145" s="216"/>
      <c r="K145" s="216"/>
      <c r="L145" s="216"/>
      <c r="M145" s="130">
        <v>59023</v>
      </c>
      <c r="N145" s="144">
        <v>109563</v>
      </c>
      <c r="O145" s="14">
        <v>0</v>
      </c>
      <c r="P145" s="213">
        <f t="shared" si="27"/>
        <v>11418.28</v>
      </c>
      <c r="Q145" s="180">
        <v>6518.0910000000003</v>
      </c>
      <c r="R145" s="180">
        <v>446.661</v>
      </c>
      <c r="S145" s="180">
        <v>872.54700000000003</v>
      </c>
      <c r="T145" s="159">
        <v>1765.2239999999999</v>
      </c>
      <c r="U145" s="159">
        <v>1815.7570000000001</v>
      </c>
      <c r="V145" s="5">
        <v>178361</v>
      </c>
      <c r="W145" s="194">
        <v>0</v>
      </c>
      <c r="X145" s="194">
        <v>168</v>
      </c>
      <c r="Y145" s="194">
        <v>2061</v>
      </c>
      <c r="Z145" s="194">
        <v>3512</v>
      </c>
      <c r="AA145" s="194">
        <v>0</v>
      </c>
      <c r="AB145" s="194"/>
      <c r="AC145" s="187">
        <v>0</v>
      </c>
      <c r="AD145" s="188">
        <v>0</v>
      </c>
      <c r="AE145" s="213">
        <f t="shared" si="70"/>
        <v>5741</v>
      </c>
      <c r="AF145" s="5">
        <v>120577</v>
      </c>
      <c r="AK145" s="233"/>
      <c r="AO145" s="15">
        <v>94699</v>
      </c>
      <c r="AP145" s="125">
        <f t="shared" si="71"/>
        <v>0.32763738773024814</v>
      </c>
      <c r="AQ145" s="125">
        <v>1.6445000000000001</v>
      </c>
      <c r="AR145" s="159">
        <v>30088</v>
      </c>
      <c r="AS145" s="159">
        <v>8281</v>
      </c>
      <c r="AT145" s="159"/>
      <c r="AU145" s="101">
        <v>45583</v>
      </c>
      <c r="AV145" s="125">
        <f t="shared" si="48"/>
        <v>0.65246640556885649</v>
      </c>
      <c r="AW145" s="125">
        <f t="shared" si="66"/>
        <v>0.59309912952019817</v>
      </c>
      <c r="AX145" s="125">
        <f t="shared" si="55"/>
        <v>5.9367276048658324E-2</v>
      </c>
      <c r="AY145" s="125">
        <f t="shared" si="72"/>
        <v>0.92693956500086172</v>
      </c>
      <c r="AZ145" s="125">
        <f t="shared" si="73"/>
        <v>0.92073651725044636</v>
      </c>
      <c r="BA145" s="125">
        <f t="shared" si="74"/>
        <v>0.69129462158207233</v>
      </c>
      <c r="BB145" s="125">
        <f t="shared" si="75"/>
        <v>0.81082133487471497</v>
      </c>
      <c r="BC145" s="14">
        <f t="shared" si="43"/>
        <v>267918.90410958906</v>
      </c>
      <c r="BD145" s="14">
        <f t="shared" si="64"/>
        <v>123300</v>
      </c>
      <c r="BE145" s="14">
        <f t="shared" si="65"/>
        <v>144618.90410958903</v>
      </c>
      <c r="BF145" s="14">
        <v>30</v>
      </c>
      <c r="BG145" s="14"/>
      <c r="BH145" s="179">
        <f t="shared" si="76"/>
        <v>0</v>
      </c>
      <c r="BI145" s="179">
        <f t="shared" si="77"/>
        <v>0</v>
      </c>
      <c r="BJ145" s="259">
        <f t="shared" si="46"/>
        <v>1</v>
      </c>
      <c r="BK145" s="14">
        <f t="shared" ref="BK145:BK176" si="78">SUM(G145,M145,N145:O145,P145,AE145,AO145,AR145,AS145)</f>
        <v>321654.28000000003</v>
      </c>
      <c r="BL145" s="14">
        <f t="shared" si="68"/>
        <v>133068</v>
      </c>
      <c r="BM145" s="262">
        <f t="shared" si="69"/>
        <v>41.369883217471873</v>
      </c>
    </row>
    <row r="146" spans="1:65" x14ac:dyDescent="0.2">
      <c r="A146" s="135">
        <v>43029</v>
      </c>
      <c r="B146" s="5">
        <v>305035</v>
      </c>
      <c r="C146" s="130">
        <v>5317</v>
      </c>
      <c r="D146" s="14">
        <v>13.84</v>
      </c>
      <c r="E146" s="130">
        <v>26298</v>
      </c>
      <c r="F146" s="186">
        <v>4.8500000000000001E-2</v>
      </c>
      <c r="G146" s="165">
        <f t="shared" si="54"/>
        <v>3170</v>
      </c>
      <c r="H146" s="208">
        <v>848</v>
      </c>
      <c r="I146" s="198">
        <v>2322</v>
      </c>
      <c r="J146" s="216"/>
      <c r="K146" s="216"/>
      <c r="L146" s="216"/>
      <c r="M146" s="130">
        <v>54711</v>
      </c>
      <c r="N146" s="144">
        <v>75248</v>
      </c>
      <c r="O146" s="14">
        <v>0</v>
      </c>
      <c r="P146" s="213">
        <f t="shared" si="27"/>
        <v>12077.893</v>
      </c>
      <c r="Q146" s="180">
        <v>7697.3469999999998</v>
      </c>
      <c r="R146" s="180">
        <v>426.37599999999998</v>
      </c>
      <c r="S146" s="180">
        <v>798</v>
      </c>
      <c r="T146" s="159">
        <v>1492.2470000000001</v>
      </c>
      <c r="U146" s="159">
        <v>1663.923</v>
      </c>
      <c r="V146" s="5">
        <v>208368</v>
      </c>
      <c r="W146" s="194">
        <v>0</v>
      </c>
      <c r="X146" s="194">
        <v>164</v>
      </c>
      <c r="Y146" s="194">
        <v>1954</v>
      </c>
      <c r="Z146" s="194">
        <v>3712</v>
      </c>
      <c r="AA146" s="194">
        <v>0</v>
      </c>
      <c r="AB146" s="194"/>
      <c r="AC146" s="187">
        <v>0</v>
      </c>
      <c r="AD146" s="188">
        <v>0</v>
      </c>
      <c r="AE146" s="213">
        <f t="shared" si="70"/>
        <v>5830</v>
      </c>
      <c r="AF146" s="5">
        <v>167399</v>
      </c>
      <c r="AK146" s="233"/>
      <c r="AO146" s="15">
        <v>167318</v>
      </c>
      <c r="AP146" s="125">
        <f t="shared" si="71"/>
        <v>0.54852066156342716</v>
      </c>
      <c r="AQ146" s="125">
        <v>1.661290323</v>
      </c>
      <c r="AR146" s="159">
        <v>37109</v>
      </c>
      <c r="AS146" s="159">
        <v>12821</v>
      </c>
      <c r="AT146" s="159"/>
      <c r="AU146" s="101">
        <v>45583</v>
      </c>
      <c r="AV146" s="125">
        <f t="shared" si="48"/>
        <v>0.49514610782369239</v>
      </c>
      <c r="AW146" s="125">
        <f t="shared" si="66"/>
        <v>0.43643844149032079</v>
      </c>
      <c r="AX146" s="125">
        <f t="shared" si="55"/>
        <v>5.87076663333716E-2</v>
      </c>
      <c r="AY146" s="125">
        <f t="shared" si="72"/>
        <v>0.90759924023989158</v>
      </c>
      <c r="AZ146" s="125">
        <f t="shared" si="73"/>
        <v>0.9849591030537479</v>
      </c>
      <c r="BA146" s="125">
        <f t="shared" si="74"/>
        <v>0.61146625201566462</v>
      </c>
      <c r="BB146" s="125">
        <f t="shared" si="75"/>
        <v>0.71719042389702525</v>
      </c>
      <c r="BC146" s="14">
        <f t="shared" si="43"/>
        <v>276849.53424657532</v>
      </c>
      <c r="BD146" s="14">
        <f t="shared" si="64"/>
        <v>127410</v>
      </c>
      <c r="BE146" s="14">
        <f t="shared" si="65"/>
        <v>149439.53424657535</v>
      </c>
      <c r="BF146" s="14">
        <v>31</v>
      </c>
      <c r="BG146" s="14"/>
      <c r="BH146" s="179">
        <f t="shared" si="76"/>
        <v>0</v>
      </c>
      <c r="BI146" s="179">
        <f t="shared" si="77"/>
        <v>0</v>
      </c>
      <c r="BJ146" s="259">
        <f t="shared" si="46"/>
        <v>1</v>
      </c>
      <c r="BK146" s="14">
        <f t="shared" si="78"/>
        <v>368284.89300000004</v>
      </c>
      <c r="BL146" s="14">
        <f t="shared" si="68"/>
        <v>217248</v>
      </c>
      <c r="BM146" s="262">
        <f t="shared" si="69"/>
        <v>58.989115255400925</v>
      </c>
    </row>
    <row r="147" spans="1:65" x14ac:dyDescent="0.2">
      <c r="A147" s="135">
        <v>43061</v>
      </c>
      <c r="B147" s="5">
        <v>286453</v>
      </c>
      <c r="C147" s="130">
        <v>4757</v>
      </c>
      <c r="D147" s="14">
        <v>14.03</v>
      </c>
      <c r="E147" s="130">
        <v>20771</v>
      </c>
      <c r="F147" s="186">
        <v>5.0200000000000002E-2</v>
      </c>
      <c r="G147" s="165">
        <f t="shared" si="54"/>
        <v>3157</v>
      </c>
      <c r="H147" s="208">
        <v>819</v>
      </c>
      <c r="I147" s="198">
        <v>2338</v>
      </c>
      <c r="J147" s="216"/>
      <c r="K147" s="216"/>
      <c r="L147" s="216"/>
      <c r="M147" s="130">
        <v>93409</v>
      </c>
      <c r="N147" s="144">
        <v>73459</v>
      </c>
      <c r="O147" s="14">
        <v>0</v>
      </c>
      <c r="P147" s="213">
        <f t="shared" si="27"/>
        <v>12197.66</v>
      </c>
      <c r="Q147" s="180">
        <v>6907.51</v>
      </c>
      <c r="R147" s="180">
        <v>405.21</v>
      </c>
      <c r="S147" s="180">
        <v>1112.93</v>
      </c>
      <c r="T147" s="159">
        <v>1916.8489999999999</v>
      </c>
      <c r="U147" s="159">
        <v>1855.1610000000001</v>
      </c>
      <c r="V147" s="5">
        <v>216143</v>
      </c>
      <c r="W147" s="194">
        <v>0</v>
      </c>
      <c r="X147" s="194">
        <v>112</v>
      </c>
      <c r="Y147" s="194">
        <v>602</v>
      </c>
      <c r="Z147" s="194">
        <v>902</v>
      </c>
      <c r="AA147" s="194">
        <v>3690</v>
      </c>
      <c r="AB147" s="194"/>
      <c r="AC147" s="187">
        <v>2203</v>
      </c>
      <c r="AD147" s="188">
        <v>0</v>
      </c>
      <c r="AE147" s="213">
        <f t="shared" si="70"/>
        <v>7509</v>
      </c>
      <c r="AF147" s="5">
        <v>145788</v>
      </c>
      <c r="AK147" s="233"/>
      <c r="AO147" s="15">
        <v>99726</v>
      </c>
      <c r="AP147" s="125">
        <f t="shared" si="71"/>
        <v>0.34814088175023478</v>
      </c>
      <c r="AQ147" s="125">
        <v>1.649766667</v>
      </c>
      <c r="AR147" s="159">
        <v>38175</v>
      </c>
      <c r="AS147" s="159">
        <v>11864</v>
      </c>
      <c r="AT147" s="159"/>
      <c r="AU147" s="101">
        <v>45583</v>
      </c>
      <c r="AV147" s="125">
        <f t="shared" si="48"/>
        <v>0.66234830844850645</v>
      </c>
      <c r="AW147" s="125">
        <f t="shared" si="66"/>
        <v>0.59355286905705296</v>
      </c>
      <c r="AX147" s="125">
        <f t="shared" si="55"/>
        <v>6.8795439391453495E-2</v>
      </c>
      <c r="AY147" s="125">
        <f t="shared" si="72"/>
        <v>0.93529795152988116</v>
      </c>
      <c r="AZ147" s="125">
        <f t="shared" si="73"/>
        <v>0.94169375080728779</v>
      </c>
      <c r="BA147" s="125">
        <f t="shared" si="74"/>
        <v>0.57045567055144053</v>
      </c>
      <c r="BB147" s="125">
        <f t="shared" si="75"/>
        <v>0.66908900177007369</v>
      </c>
      <c r="BC147" s="14">
        <f>BD147+BE147</f>
        <v>267918.90410958906</v>
      </c>
      <c r="BD147" s="14">
        <f t="shared" si="64"/>
        <v>123300</v>
      </c>
      <c r="BE147" s="14">
        <f t="shared" si="65"/>
        <v>144618.90410958903</v>
      </c>
      <c r="BF147" s="14">
        <v>30</v>
      </c>
      <c r="BG147" s="14"/>
      <c r="BH147" s="179">
        <f t="shared" si="76"/>
        <v>0</v>
      </c>
      <c r="BI147" s="179">
        <f t="shared" si="77"/>
        <v>0</v>
      </c>
      <c r="BJ147" s="259">
        <f t="shared" si="46"/>
        <v>1</v>
      </c>
      <c r="BK147" s="14">
        <f t="shared" si="78"/>
        <v>339496.66000000003</v>
      </c>
      <c r="BL147" s="14">
        <f t="shared" si="68"/>
        <v>149765</v>
      </c>
      <c r="BM147" s="262">
        <f t="shared" si="69"/>
        <v>44.113836053644825</v>
      </c>
    </row>
    <row r="148" spans="1:65" x14ac:dyDescent="0.2">
      <c r="A148" s="135">
        <v>43092</v>
      </c>
      <c r="B148" s="5">
        <v>269593</v>
      </c>
      <c r="C148" s="130">
        <v>5801</v>
      </c>
      <c r="D148" s="14">
        <v>14.48</v>
      </c>
      <c r="E148" s="130">
        <v>15367</v>
      </c>
      <c r="F148" s="186">
        <v>5.9700000000000003E-2</v>
      </c>
      <c r="G148" s="165">
        <f t="shared" si="54"/>
        <v>3325</v>
      </c>
      <c r="H148" s="208">
        <v>1326</v>
      </c>
      <c r="I148" s="198">
        <v>1999</v>
      </c>
      <c r="J148" s="216"/>
      <c r="K148" s="216"/>
      <c r="L148" s="216"/>
      <c r="M148" s="130">
        <v>92762</v>
      </c>
      <c r="N148" s="144">
        <v>43434</v>
      </c>
      <c r="O148" s="14">
        <v>0</v>
      </c>
      <c r="P148" s="213">
        <f t="shared" si="27"/>
        <v>8281.2749999999996</v>
      </c>
      <c r="Q148" s="180">
        <v>4626.12</v>
      </c>
      <c r="R148" s="180">
        <v>379.71</v>
      </c>
      <c r="S148" s="180">
        <v>376.37200000000001</v>
      </c>
      <c r="T148" s="159">
        <v>868.07600000000002</v>
      </c>
      <c r="U148" s="159">
        <v>2030.9970000000001</v>
      </c>
      <c r="V148" s="5">
        <v>166531</v>
      </c>
      <c r="W148" s="194">
        <v>0</v>
      </c>
      <c r="X148" s="194">
        <v>0</v>
      </c>
      <c r="Y148" s="194">
        <v>691</v>
      </c>
      <c r="Z148" s="194">
        <v>0</v>
      </c>
      <c r="AA148" s="194">
        <v>4602</v>
      </c>
      <c r="AB148" s="194"/>
      <c r="AC148" s="187">
        <v>2400</v>
      </c>
      <c r="AD148" s="188">
        <v>0</v>
      </c>
      <c r="AE148" s="213">
        <f t="shared" si="70"/>
        <v>7693</v>
      </c>
      <c r="AF148" s="5">
        <v>125635</v>
      </c>
      <c r="AK148" s="233"/>
      <c r="AO148" s="15">
        <v>153295</v>
      </c>
      <c r="AP148" s="125">
        <f t="shared" si="71"/>
        <v>0.56861639582630108</v>
      </c>
      <c r="AQ148" s="125">
        <v>1.4638709679999999</v>
      </c>
      <c r="AR148" s="159">
        <v>31184</v>
      </c>
      <c r="AS148" s="159">
        <v>11017</v>
      </c>
      <c r="AT148" s="159"/>
      <c r="AU148" s="101">
        <v>45583</v>
      </c>
      <c r="AV148" s="125">
        <f t="shared" si="48"/>
        <v>0.57677786515228513</v>
      </c>
      <c r="AW148" s="125">
        <f t="shared" si="66"/>
        <v>0.51752456480694975</v>
      </c>
      <c r="AX148" s="125">
        <f t="shared" si="55"/>
        <v>5.925330034533538E-2</v>
      </c>
      <c r="AY148" s="125">
        <f t="shared" si="72"/>
        <v>1.0269166270881489</v>
      </c>
      <c r="AZ148" s="125">
        <f t="shared" si="73"/>
        <v>1.0861409606332508</v>
      </c>
      <c r="BA148" s="125">
        <f t="shared" si="74"/>
        <v>0.765082777380788</v>
      </c>
      <c r="BB148" s="125">
        <f t="shared" si="75"/>
        <v>0.89736766275693625</v>
      </c>
      <c r="BC148" s="14">
        <f t="shared" si="43"/>
        <v>276849.53424657532</v>
      </c>
      <c r="BD148" s="14">
        <f t="shared" si="64"/>
        <v>127410</v>
      </c>
      <c r="BE148" s="14">
        <f t="shared" si="65"/>
        <v>149439.53424657535</v>
      </c>
      <c r="BF148" s="14">
        <v>31</v>
      </c>
      <c r="BG148" s="14"/>
      <c r="BH148" s="179">
        <f t="shared" si="76"/>
        <v>0</v>
      </c>
      <c r="BI148" s="179">
        <f t="shared" si="77"/>
        <v>0</v>
      </c>
      <c r="BJ148" s="259">
        <f t="shared" si="46"/>
        <v>1</v>
      </c>
      <c r="BK148" s="14">
        <f t="shared" si="78"/>
        <v>350991.27500000002</v>
      </c>
      <c r="BL148" s="14">
        <f t="shared" si="68"/>
        <v>195496</v>
      </c>
      <c r="BM148" s="262">
        <f t="shared" si="69"/>
        <v>55.698250618907828</v>
      </c>
    </row>
    <row r="149" spans="1:65" x14ac:dyDescent="0.2">
      <c r="A149" s="135">
        <v>43124</v>
      </c>
      <c r="B149" s="5">
        <v>309439</v>
      </c>
      <c r="C149" s="130">
        <v>6742</v>
      </c>
      <c r="D149" s="14">
        <v>13.55</v>
      </c>
      <c r="E149" s="130">
        <v>30595</v>
      </c>
      <c r="F149" s="186">
        <v>4.58E-2</v>
      </c>
      <c r="G149" s="165">
        <f t="shared" si="54"/>
        <v>1632</v>
      </c>
      <c r="H149" s="208">
        <v>1087</v>
      </c>
      <c r="I149" s="198">
        <v>545</v>
      </c>
      <c r="J149" s="216"/>
      <c r="K149" s="216"/>
      <c r="L149" s="216"/>
      <c r="M149" s="130">
        <v>79719</v>
      </c>
      <c r="N149" s="144">
        <v>76011</v>
      </c>
      <c r="O149" s="14">
        <v>0</v>
      </c>
      <c r="P149" s="213">
        <f t="shared" si="27"/>
        <v>9092.0879999999997</v>
      </c>
      <c r="Q149" s="180">
        <v>4718.66</v>
      </c>
      <c r="R149" s="180">
        <v>402.01799999999997</v>
      </c>
      <c r="S149" s="180">
        <v>628.94399999999996</v>
      </c>
      <c r="T149" s="159">
        <v>1568.6679999999999</v>
      </c>
      <c r="U149" s="159">
        <v>1773.798</v>
      </c>
      <c r="V149" s="5">
        <v>191167</v>
      </c>
      <c r="W149" s="194">
        <v>0</v>
      </c>
      <c r="X149" s="194">
        <v>1</v>
      </c>
      <c r="Y149" s="194">
        <v>679</v>
      </c>
      <c r="Z149" s="194">
        <v>0</v>
      </c>
      <c r="AA149" s="194">
        <v>4848</v>
      </c>
      <c r="AB149" s="194"/>
      <c r="AC149" s="187">
        <v>2174</v>
      </c>
      <c r="AD149" s="188">
        <v>0</v>
      </c>
      <c r="AE149" s="213">
        <f t="shared" si="70"/>
        <v>7702</v>
      </c>
      <c r="AF149" s="5">
        <v>139786</v>
      </c>
      <c r="AK149" s="233"/>
      <c r="AO149" s="15">
        <v>134395</v>
      </c>
      <c r="AP149" s="125">
        <f t="shared" si="71"/>
        <v>0.43431823396533725</v>
      </c>
      <c r="AQ149" s="125">
        <v>1.608064516</v>
      </c>
      <c r="AR149" s="159">
        <v>31395</v>
      </c>
      <c r="AS149" s="159">
        <v>10772</v>
      </c>
      <c r="AT149" s="159"/>
      <c r="AU149" s="101">
        <v>45583</v>
      </c>
      <c r="AV149" s="125">
        <f t="shared" ref="AV149:AV212" si="79">(G149+M149+N149+P149+AE149)/B149</f>
        <v>0.56281234104298417</v>
      </c>
      <c r="AW149" s="125">
        <f t="shared" si="66"/>
        <v>0.50853964755573799</v>
      </c>
      <c r="AX149" s="125">
        <f t="shared" si="55"/>
        <v>5.4272693487246171E-2</v>
      </c>
      <c r="AY149" s="125">
        <f t="shared" si="72"/>
        <v>0.89468209969194357</v>
      </c>
      <c r="AZ149" s="125">
        <f t="shared" si="73"/>
        <v>0.94285788152107519</v>
      </c>
      <c r="BA149" s="125">
        <f t="shared" si="74"/>
        <v>0.66648532434991392</v>
      </c>
      <c r="BB149" s="125">
        <f t="shared" si="75"/>
        <v>0.78172244292464366</v>
      </c>
      <c r="BC149" s="14">
        <f t="shared" si="43"/>
        <v>276849.53424657532</v>
      </c>
      <c r="BD149" s="14">
        <f t="shared" si="64"/>
        <v>127410</v>
      </c>
      <c r="BE149" s="14">
        <f t="shared" si="65"/>
        <v>149439.53424657535</v>
      </c>
      <c r="BF149" s="14">
        <v>31</v>
      </c>
      <c r="BG149" s="14"/>
      <c r="BH149" s="179">
        <f t="shared" si="76"/>
        <v>0</v>
      </c>
      <c r="BI149" s="179">
        <f t="shared" si="77"/>
        <v>0</v>
      </c>
      <c r="BJ149" s="259">
        <f t="shared" si="46"/>
        <v>1</v>
      </c>
      <c r="BK149" s="14">
        <f t="shared" si="78"/>
        <v>350718.08799999999</v>
      </c>
      <c r="BL149" s="14">
        <f t="shared" si="68"/>
        <v>176562</v>
      </c>
      <c r="BM149" s="262">
        <f t="shared" si="69"/>
        <v>50.342997992165152</v>
      </c>
    </row>
    <row r="150" spans="1:65" x14ac:dyDescent="0.2">
      <c r="A150" s="135">
        <v>43156</v>
      </c>
      <c r="B150" s="5">
        <v>273374</v>
      </c>
      <c r="C150" s="130">
        <v>5673.75</v>
      </c>
      <c r="D150" s="14">
        <v>13.12</v>
      </c>
      <c r="E150" s="130">
        <v>18118</v>
      </c>
      <c r="F150" s="186">
        <v>5.3100000000000001E-2</v>
      </c>
      <c r="G150" s="165">
        <f t="shared" si="54"/>
        <v>889</v>
      </c>
      <c r="H150" s="208">
        <v>889</v>
      </c>
      <c r="I150" s="198">
        <v>0</v>
      </c>
      <c r="J150" s="216"/>
      <c r="K150" s="216"/>
      <c r="L150" s="216"/>
      <c r="M150" s="130">
        <v>62910</v>
      </c>
      <c r="N150" s="144">
        <v>52780</v>
      </c>
      <c r="O150" s="14">
        <v>0</v>
      </c>
      <c r="P150" s="213">
        <f t="shared" si="27"/>
        <v>8353.1419999999998</v>
      </c>
      <c r="Q150" s="180">
        <v>3877.1</v>
      </c>
      <c r="R150" s="180">
        <v>300.61399999999998</v>
      </c>
      <c r="S150" s="180">
        <v>447.00900000000001</v>
      </c>
      <c r="T150" s="159">
        <v>2860.4490000000001</v>
      </c>
      <c r="U150" s="159">
        <v>867.97</v>
      </c>
      <c r="V150" s="5">
        <v>183253</v>
      </c>
      <c r="W150" s="194">
        <v>0</v>
      </c>
      <c r="X150" s="194">
        <v>0</v>
      </c>
      <c r="Y150" s="194">
        <v>1329</v>
      </c>
      <c r="Z150" s="194">
        <v>3</v>
      </c>
      <c r="AA150" s="194">
        <v>4717</v>
      </c>
      <c r="AB150" s="194"/>
      <c r="AC150" s="187">
        <v>1718</v>
      </c>
      <c r="AD150" s="188">
        <v>0</v>
      </c>
      <c r="AE150" s="213">
        <f t="shared" si="70"/>
        <v>7767</v>
      </c>
      <c r="AF150" s="5">
        <v>130025</v>
      </c>
      <c r="AK150" s="233"/>
      <c r="AO150" s="15">
        <v>153081</v>
      </c>
      <c r="AP150" s="125">
        <f t="shared" si="71"/>
        <v>0.5599691265445873</v>
      </c>
      <c r="AQ150" s="125">
        <v>1.6112500000000001</v>
      </c>
      <c r="AR150" s="159">
        <v>33959</v>
      </c>
      <c r="AS150" s="159">
        <v>12694</v>
      </c>
      <c r="AT150" s="159"/>
      <c r="AU150" s="101">
        <v>45583</v>
      </c>
      <c r="AV150" s="125">
        <f t="shared" si="79"/>
        <v>0.48541244595316302</v>
      </c>
      <c r="AW150" s="125">
        <f t="shared" si="66"/>
        <v>0.42644508987687196</v>
      </c>
      <c r="AX150" s="125">
        <f t="shared" si="55"/>
        <v>5.8967356076291055E-2</v>
      </c>
      <c r="AY150" s="125">
        <f t="shared" si="72"/>
        <v>0.91470894757956667</v>
      </c>
      <c r="AZ150" s="125">
        <f t="shared" si="73"/>
        <v>0.98641421642145921</v>
      </c>
      <c r="BA150" s="125">
        <f t="shared" si="74"/>
        <v>0.62798426219488901</v>
      </c>
      <c r="BB150" s="125">
        <f t="shared" si="75"/>
        <v>0.73656444279556921</v>
      </c>
      <c r="BC150" s="14">
        <f t="shared" si="43"/>
        <v>250057.64383561644</v>
      </c>
      <c r="BD150" s="14">
        <f t="shared" si="64"/>
        <v>115080</v>
      </c>
      <c r="BE150" s="14">
        <f t="shared" si="65"/>
        <v>134977.64383561644</v>
      </c>
      <c r="BF150" s="14">
        <v>28</v>
      </c>
      <c r="BG150" s="14"/>
      <c r="BH150" s="179">
        <f t="shared" si="76"/>
        <v>0</v>
      </c>
      <c r="BI150" s="179">
        <f t="shared" si="77"/>
        <v>0</v>
      </c>
      <c r="BJ150" s="259">
        <f t="shared" si="46"/>
        <v>1</v>
      </c>
      <c r="BK150" s="14">
        <f t="shared" si="78"/>
        <v>332433.14199999999</v>
      </c>
      <c r="BL150" s="14">
        <f t="shared" si="68"/>
        <v>199734</v>
      </c>
      <c r="BM150" s="262">
        <f t="shared" si="69"/>
        <v>60.082457121558598</v>
      </c>
    </row>
    <row r="151" spans="1:65" x14ac:dyDescent="0.2">
      <c r="A151" s="135">
        <v>43185</v>
      </c>
      <c r="B151" s="5">
        <v>295392</v>
      </c>
      <c r="C151" s="130">
        <v>6626</v>
      </c>
      <c r="D151" s="14">
        <v>13.37</v>
      </c>
      <c r="E151" s="130">
        <v>21716</v>
      </c>
      <c r="F151" s="186">
        <v>5.1400000000000001E-2</v>
      </c>
      <c r="G151" s="165">
        <f t="shared" si="54"/>
        <v>651</v>
      </c>
      <c r="H151" s="208">
        <v>651</v>
      </c>
      <c r="I151" s="198">
        <v>0</v>
      </c>
      <c r="J151" s="216"/>
      <c r="K151" s="216"/>
      <c r="L151" s="216"/>
      <c r="M151" s="130">
        <v>66333</v>
      </c>
      <c r="N151" s="144">
        <v>70143</v>
      </c>
      <c r="O151" s="14">
        <v>0</v>
      </c>
      <c r="P151" s="213">
        <f t="shared" si="27"/>
        <v>7665.9210000000003</v>
      </c>
      <c r="Q151" s="180">
        <v>3146.96</v>
      </c>
      <c r="R151" s="180">
        <v>390.26499999999999</v>
      </c>
      <c r="S151" s="180">
        <v>799.89400000000001</v>
      </c>
      <c r="T151" s="159">
        <v>3328.8020000000001</v>
      </c>
      <c r="U151" s="159">
        <v>0</v>
      </c>
      <c r="V151" s="5">
        <v>161086</v>
      </c>
      <c r="W151" s="194">
        <v>0</v>
      </c>
      <c r="X151" s="194">
        <v>0</v>
      </c>
      <c r="Y151" s="194">
        <v>1983</v>
      </c>
      <c r="Z151" s="194">
        <v>1805</v>
      </c>
      <c r="AA151" s="194">
        <v>3967</v>
      </c>
      <c r="AB151" s="194"/>
      <c r="AC151" s="187">
        <v>638</v>
      </c>
      <c r="AD151" s="188">
        <v>0</v>
      </c>
      <c r="AE151" s="213">
        <f t="shared" si="70"/>
        <v>8393</v>
      </c>
      <c r="AF151" s="5">
        <v>133967</v>
      </c>
      <c r="AG151" s="5">
        <v>133967</v>
      </c>
      <c r="AH151" s="5">
        <v>133967</v>
      </c>
      <c r="AI151" s="5">
        <v>133967</v>
      </c>
      <c r="AJ151" s="218">
        <v>133967</v>
      </c>
      <c r="AK151" s="233"/>
      <c r="AL151" s="228"/>
      <c r="AM151" s="5"/>
      <c r="AN151" s="5"/>
      <c r="AO151" s="15">
        <v>148018</v>
      </c>
      <c r="AP151" s="125">
        <f t="shared" si="71"/>
        <v>0.50109007691474383</v>
      </c>
      <c r="AQ151" s="125">
        <v>1.572903226</v>
      </c>
      <c r="AR151" s="159">
        <v>31773</v>
      </c>
      <c r="AS151" s="159">
        <v>14485</v>
      </c>
      <c r="AT151" s="159"/>
      <c r="AU151" s="101">
        <v>45583</v>
      </c>
      <c r="AV151" s="125">
        <f t="shared" si="79"/>
        <v>0.51858520542194775</v>
      </c>
      <c r="AW151" s="125">
        <f t="shared" si="66"/>
        <v>0.46422042573935651</v>
      </c>
      <c r="AX151" s="125">
        <f t="shared" si="55"/>
        <v>5.4364779682591235E-2</v>
      </c>
      <c r="AY151" s="125">
        <f t="shared" si="72"/>
        <v>0.93722759670734257</v>
      </c>
      <c r="AZ151" s="125">
        <f t="shared" si="73"/>
        <v>0.96531050265410034</v>
      </c>
      <c r="BA151" s="125">
        <f t="shared" si="74"/>
        <v>0.79094396781843235</v>
      </c>
      <c r="BB151" s="125">
        <f t="shared" si="75"/>
        <v>0.92770032309806783</v>
      </c>
      <c r="BC151" s="14">
        <f t="shared" si="43"/>
        <v>276849.53424657532</v>
      </c>
      <c r="BD151" s="14">
        <f t="shared" si="64"/>
        <v>127410</v>
      </c>
      <c r="BE151" s="14">
        <f t="shared" si="65"/>
        <v>149439.53424657535</v>
      </c>
      <c r="BF151" s="14">
        <v>31</v>
      </c>
      <c r="BG151" s="14"/>
      <c r="BH151" s="179">
        <f t="shared" si="76"/>
        <v>0</v>
      </c>
      <c r="BI151" s="179">
        <f t="shared" si="77"/>
        <v>0</v>
      </c>
      <c r="BJ151" s="259">
        <f t="shared" si="46"/>
        <v>1</v>
      </c>
      <c r="BK151" s="14">
        <f t="shared" si="78"/>
        <v>347461.92099999997</v>
      </c>
      <c r="BL151" s="14">
        <f t="shared" si="68"/>
        <v>194276</v>
      </c>
      <c r="BM151" s="262">
        <f t="shared" si="69"/>
        <v>55.912889516316241</v>
      </c>
    </row>
    <row r="152" spans="1:65" x14ac:dyDescent="0.2">
      <c r="A152" s="135">
        <v>43217</v>
      </c>
      <c r="B152" s="5">
        <v>262260</v>
      </c>
      <c r="C152" s="130">
        <v>6215</v>
      </c>
      <c r="D152" s="14">
        <v>13.37</v>
      </c>
      <c r="E152" s="130">
        <v>21716</v>
      </c>
      <c r="F152" s="186">
        <v>5.1400000000000001E-2</v>
      </c>
      <c r="G152" s="165">
        <f t="shared" ref="G152:G212" si="80">H152+I152</f>
        <v>513</v>
      </c>
      <c r="H152" s="208">
        <v>513</v>
      </c>
      <c r="I152" s="198">
        <v>0</v>
      </c>
      <c r="J152" s="216"/>
      <c r="K152" s="216"/>
      <c r="L152" s="216"/>
      <c r="M152" s="130">
        <v>61166</v>
      </c>
      <c r="N152" s="144">
        <v>48104</v>
      </c>
      <c r="O152" s="14">
        <v>0</v>
      </c>
      <c r="P152" s="213">
        <f t="shared" si="27"/>
        <v>6203.6669999999995</v>
      </c>
      <c r="Q152" s="180">
        <v>3110.93</v>
      </c>
      <c r="R152" s="180">
        <v>307.42399999999998</v>
      </c>
      <c r="S152" s="180">
        <v>51.825000000000003</v>
      </c>
      <c r="T152" s="159">
        <v>2733.4879999999998</v>
      </c>
      <c r="U152" s="159">
        <v>0</v>
      </c>
      <c r="V152" s="5">
        <v>148629</v>
      </c>
      <c r="W152" s="194">
        <v>0</v>
      </c>
      <c r="X152" s="194">
        <v>0</v>
      </c>
      <c r="Y152" s="194">
        <v>1770</v>
      </c>
      <c r="Z152" s="194">
        <v>3444</v>
      </c>
      <c r="AA152" s="194">
        <v>3398</v>
      </c>
      <c r="AB152" s="194"/>
      <c r="AC152" s="187">
        <v>0</v>
      </c>
      <c r="AD152" s="188">
        <v>0</v>
      </c>
      <c r="AE152" s="213">
        <f t="shared" si="70"/>
        <v>8612</v>
      </c>
      <c r="AF152" s="5">
        <v>96789</v>
      </c>
      <c r="AK152" s="233"/>
      <c r="AO152" s="15">
        <v>148018</v>
      </c>
      <c r="AP152" s="125">
        <f t="shared" si="71"/>
        <v>0.56439411271257534</v>
      </c>
      <c r="AQ152" s="125">
        <v>1.572903226</v>
      </c>
      <c r="AR152" s="159">
        <v>29130</v>
      </c>
      <c r="AS152" s="159">
        <v>12125</v>
      </c>
      <c r="AT152" s="159"/>
      <c r="AU152" s="101">
        <v>45583</v>
      </c>
      <c r="AV152" s="125">
        <f t="shared" si="79"/>
        <v>0.47509596202242049</v>
      </c>
      <c r="AW152" s="125">
        <f t="shared" si="66"/>
        <v>0.41860367574163043</v>
      </c>
      <c r="AX152" s="125">
        <f t="shared" si="55"/>
        <v>5.6492286280790061E-2</v>
      </c>
      <c r="AY152" s="125">
        <f t="shared" si="72"/>
        <v>1.0215774579028027</v>
      </c>
      <c r="AZ152" s="125">
        <f t="shared" si="73"/>
        <v>0.98299778845420571</v>
      </c>
      <c r="BA152" s="125">
        <f t="shared" si="74"/>
        <v>0.82958238298044118</v>
      </c>
      <c r="BB152" s="125">
        <f t="shared" si="75"/>
        <v>0.97301942494122295</v>
      </c>
      <c r="BC152" s="14">
        <f t="shared" si="43"/>
        <v>267918.90410958906</v>
      </c>
      <c r="BD152" s="14">
        <f t="shared" si="64"/>
        <v>123300</v>
      </c>
      <c r="BE152" s="14">
        <f t="shared" si="65"/>
        <v>144618.90410958903</v>
      </c>
      <c r="BF152" s="14">
        <v>30</v>
      </c>
      <c r="BG152" s="14"/>
      <c r="BH152" s="179">
        <f t="shared" si="76"/>
        <v>0</v>
      </c>
      <c r="BI152" s="179">
        <f t="shared" si="77"/>
        <v>0</v>
      </c>
      <c r="BJ152" s="259">
        <f t="shared" si="46"/>
        <v>1</v>
      </c>
      <c r="BK152" s="14">
        <f t="shared" si="78"/>
        <v>313871.66700000002</v>
      </c>
      <c r="BL152" s="14">
        <f t="shared" si="68"/>
        <v>189273</v>
      </c>
      <c r="BM152" s="262">
        <f t="shared" si="69"/>
        <v>60.302671409968326</v>
      </c>
    </row>
    <row r="153" spans="1:65" x14ac:dyDescent="0.2">
      <c r="A153" s="135">
        <v>43248</v>
      </c>
      <c r="B153" s="5">
        <v>298029</v>
      </c>
      <c r="C153" s="130">
        <v>7577</v>
      </c>
      <c r="D153" s="14">
        <v>12.94</v>
      </c>
      <c r="E153" s="130">
        <v>19295</v>
      </c>
      <c r="F153" s="186">
        <v>4.9799999999999997E-2</v>
      </c>
      <c r="G153" s="165">
        <f t="shared" si="80"/>
        <v>2304</v>
      </c>
      <c r="H153" s="208">
        <v>940</v>
      </c>
      <c r="I153" s="198">
        <v>1364</v>
      </c>
      <c r="J153" s="216"/>
      <c r="K153" s="216"/>
      <c r="L153" s="216"/>
      <c r="M153" s="130">
        <v>79651</v>
      </c>
      <c r="N153" s="144">
        <v>76415</v>
      </c>
      <c r="O153" s="14">
        <v>0</v>
      </c>
      <c r="P153" s="213">
        <f t="shared" si="27"/>
        <v>6977.6859999999997</v>
      </c>
      <c r="Q153" s="180">
        <v>348.74799999999999</v>
      </c>
      <c r="R153" s="180">
        <v>347.28800000000001</v>
      </c>
      <c r="S153" s="180">
        <v>770.47199999999998</v>
      </c>
      <c r="T153" s="159">
        <v>2726.0419999999999</v>
      </c>
      <c r="U153" s="159">
        <v>2785.136</v>
      </c>
      <c r="V153" s="5">
        <v>220182</v>
      </c>
      <c r="W153" s="194">
        <v>0</v>
      </c>
      <c r="X153" s="194">
        <v>0</v>
      </c>
      <c r="Y153" s="194">
        <v>2244</v>
      </c>
      <c r="Z153" s="194">
        <v>3787</v>
      </c>
      <c r="AA153" s="194">
        <v>3716</v>
      </c>
      <c r="AB153" s="194"/>
      <c r="AC153" s="187">
        <v>0</v>
      </c>
      <c r="AD153" s="188">
        <v>0</v>
      </c>
      <c r="AE153" s="213">
        <f t="shared" ref="AE153:AE188" si="81">SUM(W153:AD153)</f>
        <v>9747</v>
      </c>
      <c r="AF153" s="5">
        <v>125826</v>
      </c>
      <c r="AK153" s="233"/>
      <c r="AO153" s="15">
        <v>93727</v>
      </c>
      <c r="AP153" s="125">
        <f t="shared" si="71"/>
        <v>0.31448952954242709</v>
      </c>
      <c r="AQ153" s="125">
        <v>1.61</v>
      </c>
      <c r="AR153" s="159">
        <v>33226</v>
      </c>
      <c r="AS153" s="159">
        <v>15745</v>
      </c>
      <c r="AT153" s="159"/>
      <c r="AU153" s="101">
        <v>45583</v>
      </c>
      <c r="AV153" s="125">
        <f t="shared" si="79"/>
        <v>0.58750888671907764</v>
      </c>
      <c r="AW153" s="125">
        <f t="shared" si="66"/>
        <v>0.53139124044975494</v>
      </c>
      <c r="AX153" s="125">
        <f t="shared" si="55"/>
        <v>5.6117646269322696E-2</v>
      </c>
      <c r="AY153" s="125">
        <f t="shared" si="72"/>
        <v>0.92893488300324911</v>
      </c>
      <c r="AZ153" s="125">
        <f t="shared" si="73"/>
        <v>0.84588076999218198</v>
      </c>
      <c r="BA153" s="125">
        <f t="shared" si="74"/>
        <v>0.57865765593917762</v>
      </c>
      <c r="BB153" s="125">
        <f t="shared" si="75"/>
        <v>0.67870913265650845</v>
      </c>
      <c r="BC153" s="14">
        <f t="shared" si="43"/>
        <v>276849.53424657532</v>
      </c>
      <c r="BD153" s="14">
        <f t="shared" si="64"/>
        <v>127410</v>
      </c>
      <c r="BE153" s="14">
        <f t="shared" si="65"/>
        <v>149439.53424657535</v>
      </c>
      <c r="BF153" s="14">
        <v>31</v>
      </c>
      <c r="BG153" s="14"/>
      <c r="BH153" s="179">
        <f t="shared" si="76"/>
        <v>0</v>
      </c>
      <c r="BI153" s="179">
        <f t="shared" si="77"/>
        <v>0</v>
      </c>
      <c r="BJ153" s="259">
        <f t="shared" si="46"/>
        <v>1</v>
      </c>
      <c r="BK153" s="14">
        <f t="shared" si="78"/>
        <v>317792.68599999999</v>
      </c>
      <c r="BL153" s="14">
        <f t="shared" si="68"/>
        <v>142698</v>
      </c>
      <c r="BM153" s="262">
        <f t="shared" si="69"/>
        <v>44.902858462891118</v>
      </c>
    </row>
    <row r="154" spans="1:65" ht="13.5" customHeight="1" x14ac:dyDescent="0.2">
      <c r="A154" s="135">
        <v>43280</v>
      </c>
      <c r="B154" s="5">
        <v>303411</v>
      </c>
      <c r="C154" s="130">
        <v>7633</v>
      </c>
      <c r="D154" s="14">
        <v>14.37</v>
      </c>
      <c r="E154" s="130">
        <v>18705</v>
      </c>
      <c r="F154" s="186">
        <v>4.9599999999999998E-2</v>
      </c>
      <c r="G154" s="165">
        <f t="shared" si="80"/>
        <v>3585</v>
      </c>
      <c r="H154" s="208">
        <v>1045</v>
      </c>
      <c r="I154" s="198">
        <v>2540</v>
      </c>
      <c r="J154" s="216"/>
      <c r="K154" s="216"/>
      <c r="L154" s="216"/>
      <c r="M154" s="130">
        <v>98045</v>
      </c>
      <c r="N154" s="144">
        <v>38779</v>
      </c>
      <c r="O154" s="14">
        <v>0</v>
      </c>
      <c r="P154" s="213">
        <f t="shared" si="27"/>
        <v>5975.0030000000006</v>
      </c>
      <c r="Q154" s="180">
        <v>443.09</v>
      </c>
      <c r="R154" s="180">
        <v>345.05700000000002</v>
      </c>
      <c r="S154" s="180">
        <v>753.62300000000005</v>
      </c>
      <c r="T154" s="159">
        <v>2286.6550000000002</v>
      </c>
      <c r="U154" s="159">
        <v>2146.578</v>
      </c>
      <c r="V154" s="5">
        <v>259634</v>
      </c>
      <c r="W154" s="194">
        <v>0</v>
      </c>
      <c r="X154" s="194">
        <v>2</v>
      </c>
      <c r="Y154" s="194">
        <v>1539</v>
      </c>
      <c r="Z154" s="194">
        <v>1906</v>
      </c>
      <c r="AA154" s="194">
        <v>1834</v>
      </c>
      <c r="AB154" s="194"/>
      <c r="AC154" s="187">
        <v>18</v>
      </c>
      <c r="AD154" s="188">
        <v>0</v>
      </c>
      <c r="AE154" s="213">
        <f t="shared" si="81"/>
        <v>5299</v>
      </c>
      <c r="AF154" s="5">
        <v>158529</v>
      </c>
      <c r="AK154" s="233"/>
      <c r="AO154" s="15">
        <v>145319</v>
      </c>
      <c r="AP154" s="125">
        <f t="shared" si="71"/>
        <v>0.47895099386640566</v>
      </c>
      <c r="AQ154" s="125">
        <v>1.6240677969999999</v>
      </c>
      <c r="AR154" s="159">
        <v>31952</v>
      </c>
      <c r="AS154" s="159">
        <v>13243</v>
      </c>
      <c r="AT154" s="159"/>
      <c r="AU154" s="101">
        <v>45583</v>
      </c>
      <c r="AV154" s="125">
        <f t="shared" si="79"/>
        <v>0.49992585305081227</v>
      </c>
      <c r="AW154" s="125">
        <f t="shared" si="66"/>
        <v>0.46276832415436486</v>
      </c>
      <c r="AX154" s="125">
        <f t="shared" si="55"/>
        <v>3.7157528896447412E-2</v>
      </c>
      <c r="AY154" s="125">
        <f t="shared" si="72"/>
        <v>0.88302304171433821</v>
      </c>
      <c r="AZ154" s="125">
        <f t="shared" si="73"/>
        <v>0.94171931802077047</v>
      </c>
      <c r="BA154" s="125">
        <f t="shared" si="74"/>
        <v>0.47489928129597819</v>
      </c>
      <c r="BB154" s="125">
        <f t="shared" si="75"/>
        <v>0.55701065388042026</v>
      </c>
      <c r="BC154" s="14">
        <f t="shared" si="43"/>
        <v>267918.90410958906</v>
      </c>
      <c r="BD154" s="14">
        <f t="shared" si="64"/>
        <v>123300</v>
      </c>
      <c r="BE154" s="14">
        <f t="shared" si="65"/>
        <v>144618.90410958903</v>
      </c>
      <c r="BF154" s="14">
        <v>30</v>
      </c>
      <c r="BG154" s="14"/>
      <c r="BH154" s="179">
        <f t="shared" si="76"/>
        <v>0</v>
      </c>
      <c r="BI154" s="179">
        <f t="shared" si="77"/>
        <v>0</v>
      </c>
      <c r="BJ154" s="259">
        <f t="shared" si="46"/>
        <v>1</v>
      </c>
      <c r="BK154" s="14">
        <f t="shared" si="78"/>
        <v>342197.00300000003</v>
      </c>
      <c r="BL154" s="14">
        <f t="shared" si="68"/>
        <v>190514</v>
      </c>
      <c r="BM154" s="262">
        <f t="shared" si="69"/>
        <v>55.673778066373067</v>
      </c>
    </row>
    <row r="155" spans="1:65" x14ac:dyDescent="0.2">
      <c r="A155" s="135">
        <v>43299</v>
      </c>
      <c r="B155" s="5">
        <v>256836</v>
      </c>
      <c r="C155" s="130">
        <v>5562</v>
      </c>
      <c r="D155" s="14">
        <v>17.3</v>
      </c>
      <c r="E155" s="130">
        <v>16557</v>
      </c>
      <c r="F155" s="186">
        <v>4.6600000000000003E-2</v>
      </c>
      <c r="G155" s="165">
        <f t="shared" si="80"/>
        <v>2855</v>
      </c>
      <c r="H155" s="208">
        <v>765</v>
      </c>
      <c r="I155" s="198">
        <v>2090</v>
      </c>
      <c r="J155" s="216"/>
      <c r="K155" s="216"/>
      <c r="L155" s="216"/>
      <c r="M155" s="130">
        <v>83129</v>
      </c>
      <c r="N155" s="144">
        <v>30962</v>
      </c>
      <c r="O155" s="14">
        <v>0</v>
      </c>
      <c r="P155" s="213">
        <f t="shared" si="27"/>
        <v>8898.1579999999994</v>
      </c>
      <c r="Q155" s="180">
        <v>3554.15</v>
      </c>
      <c r="R155" s="180">
        <v>334.59100000000001</v>
      </c>
      <c r="S155" s="180">
        <v>734.41</v>
      </c>
      <c r="T155" s="159">
        <v>2750.752</v>
      </c>
      <c r="U155" s="159">
        <v>1524.2550000000001</v>
      </c>
      <c r="V155" s="5">
        <v>224348</v>
      </c>
      <c r="W155" s="194">
        <v>0</v>
      </c>
      <c r="X155" s="194">
        <v>0</v>
      </c>
      <c r="Y155" s="194">
        <v>1551</v>
      </c>
      <c r="Z155" s="194">
        <v>1902</v>
      </c>
      <c r="AA155" s="194">
        <v>1832</v>
      </c>
      <c r="AB155" s="194"/>
      <c r="AC155" s="187">
        <v>0</v>
      </c>
      <c r="AD155" s="188">
        <v>0</v>
      </c>
      <c r="AE155" s="213">
        <f t="shared" si="81"/>
        <v>5285</v>
      </c>
      <c r="AF155" s="5">
        <v>134532</v>
      </c>
      <c r="AK155" s="233"/>
      <c r="AO155" s="15">
        <v>146905</v>
      </c>
      <c r="AP155" s="125">
        <f t="shared" si="71"/>
        <v>0.57197978476537559</v>
      </c>
      <c r="AQ155" s="125">
        <v>1.6240677969999999</v>
      </c>
      <c r="AR155" s="159">
        <v>30011</v>
      </c>
      <c r="AS155" s="159">
        <v>11771</v>
      </c>
      <c r="AT155" s="159"/>
      <c r="AU155" s="101">
        <v>45583</v>
      </c>
      <c r="AV155" s="125">
        <f t="shared" si="79"/>
        <v>0.5105559890358049</v>
      </c>
      <c r="AW155" s="125">
        <f t="shared" si="66"/>
        <v>0.45533336448161471</v>
      </c>
      <c r="AX155" s="125">
        <f t="shared" si="55"/>
        <v>5.5222624554190192E-2</v>
      </c>
      <c r="AY155" s="125">
        <f t="shared" si="72"/>
        <v>1.0779233995490325</v>
      </c>
      <c r="AZ155" s="125">
        <f t="shared" si="73"/>
        <v>1.0273131492469902</v>
      </c>
      <c r="BA155" s="125">
        <f t="shared" si="74"/>
        <v>0.56791235045554234</v>
      </c>
      <c r="BB155" s="125">
        <f t="shared" si="75"/>
        <v>0.66610593473788648</v>
      </c>
      <c r="BC155" s="14">
        <f t="shared" si="43"/>
        <v>276849.53424657532</v>
      </c>
      <c r="BD155" s="14">
        <f t="shared" si="64"/>
        <v>127410</v>
      </c>
      <c r="BE155" s="14">
        <f t="shared" si="65"/>
        <v>149439.53424657535</v>
      </c>
      <c r="BF155" s="14">
        <v>31</v>
      </c>
      <c r="BG155" s="14"/>
      <c r="BH155" s="179">
        <f t="shared" si="76"/>
        <v>0</v>
      </c>
      <c r="BI155" s="179">
        <f t="shared" si="77"/>
        <v>0</v>
      </c>
      <c r="BJ155" s="259">
        <f t="shared" si="46"/>
        <v>1</v>
      </c>
      <c r="BK155" s="14">
        <f t="shared" si="78"/>
        <v>319816.158</v>
      </c>
      <c r="BL155" s="14">
        <f t="shared" si="68"/>
        <v>188687</v>
      </c>
      <c r="BM155" s="262">
        <f t="shared" si="69"/>
        <v>58.998582554418654</v>
      </c>
    </row>
    <row r="156" spans="1:65" x14ac:dyDescent="0.2">
      <c r="A156" s="135">
        <v>43331</v>
      </c>
      <c r="B156" s="5">
        <v>282597</v>
      </c>
      <c r="C156" s="130">
        <v>5452</v>
      </c>
      <c r="D156" s="14">
        <v>13.61</v>
      </c>
      <c r="E156" s="130">
        <v>18335</v>
      </c>
      <c r="F156" s="186">
        <v>4.9599999999999998E-2</v>
      </c>
      <c r="G156" s="165">
        <f t="shared" si="80"/>
        <v>2334</v>
      </c>
      <c r="H156" s="208">
        <v>297</v>
      </c>
      <c r="I156" s="198">
        <v>2037</v>
      </c>
      <c r="J156" s="216"/>
      <c r="K156" s="216"/>
      <c r="L156" s="216"/>
      <c r="M156" s="130">
        <v>111102</v>
      </c>
      <c r="N156" s="144">
        <v>59992</v>
      </c>
      <c r="O156" s="14">
        <v>0</v>
      </c>
      <c r="P156" s="213">
        <f t="shared" si="27"/>
        <v>5701.8069999999998</v>
      </c>
      <c r="Q156" s="180">
        <v>2925.49</v>
      </c>
      <c r="R156" s="180">
        <v>372.23700000000002</v>
      </c>
      <c r="S156" s="180">
        <v>715.95500000000004</v>
      </c>
      <c r="T156" s="159">
        <v>372.23700000000002</v>
      </c>
      <c r="U156" s="159">
        <v>1315.8879999999999</v>
      </c>
      <c r="V156" s="5">
        <v>220579</v>
      </c>
      <c r="W156" s="194">
        <v>0</v>
      </c>
      <c r="X156" s="194">
        <v>0</v>
      </c>
      <c r="Y156" s="194">
        <v>57</v>
      </c>
      <c r="Z156" s="194">
        <v>2834</v>
      </c>
      <c r="AA156" s="194">
        <v>2721</v>
      </c>
      <c r="AB156" s="194"/>
      <c r="AC156" s="187">
        <v>0</v>
      </c>
      <c r="AD156" s="188">
        <v>0</v>
      </c>
      <c r="AE156" s="213">
        <f t="shared" si="81"/>
        <v>5612</v>
      </c>
      <c r="AF156" s="5">
        <v>128820</v>
      </c>
      <c r="AK156" s="233"/>
      <c r="AO156" s="15">
        <v>160964</v>
      </c>
      <c r="AP156" s="125">
        <f t="shared" si="71"/>
        <v>0.5695884952777277</v>
      </c>
      <c r="AQ156" s="125">
        <v>1.4972131150000001</v>
      </c>
      <c r="AR156" s="159">
        <v>30999</v>
      </c>
      <c r="AS156" s="159">
        <v>12880</v>
      </c>
      <c r="AT156" s="159"/>
      <c r="AU156" s="101">
        <v>45583</v>
      </c>
      <c r="AV156" s="125">
        <f t="shared" si="79"/>
        <v>0.65372883293170136</v>
      </c>
      <c r="AW156" s="125">
        <f t="shared" si="66"/>
        <v>0.61369370517026012</v>
      </c>
      <c r="AX156" s="125">
        <f t="shared" si="55"/>
        <v>4.0035127761441247E-2</v>
      </c>
      <c r="AY156" s="125">
        <f t="shared" si="72"/>
        <v>0.97966197180640746</v>
      </c>
      <c r="AZ156" s="125">
        <f t="shared" si="73"/>
        <v>1.1832822004479877</v>
      </c>
      <c r="BA156" s="125">
        <f t="shared" si="74"/>
        <v>0.57761618286418925</v>
      </c>
      <c r="BB156" s="125">
        <f t="shared" si="75"/>
        <v>0.6774875860647448</v>
      </c>
      <c r="BC156" s="14">
        <f t="shared" si="43"/>
        <v>276849.53424657532</v>
      </c>
      <c r="BD156" s="14">
        <f t="shared" si="64"/>
        <v>127410</v>
      </c>
      <c r="BE156" s="14">
        <f t="shared" si="65"/>
        <v>149439.53424657535</v>
      </c>
      <c r="BF156" s="14">
        <v>31</v>
      </c>
      <c r="BG156" s="14"/>
      <c r="BH156" s="179">
        <f t="shared" si="76"/>
        <v>0</v>
      </c>
      <c r="BI156" s="179">
        <f t="shared" si="77"/>
        <v>0</v>
      </c>
      <c r="BJ156" s="259">
        <f t="shared" si="46"/>
        <v>1</v>
      </c>
      <c r="BK156" s="14">
        <f t="shared" si="78"/>
        <v>389584.80700000003</v>
      </c>
      <c r="BL156" s="14">
        <f t="shared" si="68"/>
        <v>204843</v>
      </c>
      <c r="BM156" s="262">
        <f t="shared" si="69"/>
        <v>52.579822498057524</v>
      </c>
    </row>
    <row r="157" spans="1:65" x14ac:dyDescent="0.2">
      <c r="A157" s="135">
        <v>43363</v>
      </c>
      <c r="B157" s="5">
        <v>285853</v>
      </c>
      <c r="C157" s="130">
        <v>5676</v>
      </c>
      <c r="D157" s="14">
        <v>2.2799999999999998</v>
      </c>
      <c r="E157" s="130">
        <v>18588</v>
      </c>
      <c r="F157" s="186">
        <v>4.3700000000000003E-2</v>
      </c>
      <c r="G157" s="165">
        <f t="shared" si="80"/>
        <v>889</v>
      </c>
      <c r="H157" s="208">
        <v>450</v>
      </c>
      <c r="I157" s="198">
        <v>439</v>
      </c>
      <c r="J157" s="216"/>
      <c r="K157" s="216"/>
      <c r="L157" s="216"/>
      <c r="M157" s="130">
        <v>108172</v>
      </c>
      <c r="N157" s="144">
        <v>23105</v>
      </c>
      <c r="O157" s="14">
        <v>0</v>
      </c>
      <c r="P157" s="213">
        <f t="shared" si="27"/>
        <v>12133.172</v>
      </c>
      <c r="Q157" s="180">
        <v>6303.88</v>
      </c>
      <c r="R157" s="180">
        <v>371.34899999999999</v>
      </c>
      <c r="S157" s="180">
        <v>730.03099999999995</v>
      </c>
      <c r="T157" s="159">
        <v>3763.2620000000002</v>
      </c>
      <c r="U157" s="159">
        <v>964.65</v>
      </c>
      <c r="V157" s="5">
        <v>201815</v>
      </c>
      <c r="W157" s="194">
        <v>0</v>
      </c>
      <c r="X157" s="194">
        <v>0</v>
      </c>
      <c r="Y157" s="194">
        <v>14</v>
      </c>
      <c r="Z157" s="194">
        <v>3143</v>
      </c>
      <c r="AA157" s="194">
        <v>2921</v>
      </c>
      <c r="AB157" s="194"/>
      <c r="AC157" s="187">
        <v>0</v>
      </c>
      <c r="AD157" s="188">
        <v>0</v>
      </c>
      <c r="AE157" s="213">
        <f t="shared" si="81"/>
        <v>6078</v>
      </c>
      <c r="AF157" s="5">
        <v>100361</v>
      </c>
      <c r="AK157" s="233"/>
      <c r="AO157" s="15">
        <v>156329</v>
      </c>
      <c r="AP157" s="125">
        <f t="shared" si="71"/>
        <v>0.54688598685338263</v>
      </c>
      <c r="AQ157" s="125">
        <v>1.5296666670000001</v>
      </c>
      <c r="AR157" s="159">
        <v>30634</v>
      </c>
      <c r="AS157" s="159">
        <v>6871</v>
      </c>
      <c r="AT157" s="159"/>
      <c r="AU157" s="101">
        <v>45583</v>
      </c>
      <c r="AV157" s="125">
        <f t="shared" si="79"/>
        <v>0.5260646975893204</v>
      </c>
      <c r="AW157" s="125">
        <f t="shared" si="66"/>
        <v>0.46235652590667231</v>
      </c>
      <c r="AX157" s="125">
        <f t="shared" si="55"/>
        <v>6.3708171682648085E-2</v>
      </c>
      <c r="AY157" s="125">
        <f t="shared" si="72"/>
        <v>0.93726112410780738</v>
      </c>
      <c r="AZ157" s="125">
        <f t="shared" si="73"/>
        <v>1.0092425127600551</v>
      </c>
      <c r="BA157" s="125">
        <f t="shared" si="74"/>
        <v>0.610955578128484</v>
      </c>
      <c r="BB157" s="125">
        <f t="shared" si="75"/>
        <v>0.71659145311096317</v>
      </c>
      <c r="BC157" s="14">
        <f t="shared" si="43"/>
        <v>267918.90410958906</v>
      </c>
      <c r="BD157" s="14">
        <f t="shared" si="64"/>
        <v>123300</v>
      </c>
      <c r="BE157" s="14">
        <f t="shared" si="65"/>
        <v>144618.90410958903</v>
      </c>
      <c r="BF157" s="14">
        <v>30</v>
      </c>
      <c r="BG157" s="14"/>
      <c r="BH157" s="179">
        <f t="shared" si="76"/>
        <v>0</v>
      </c>
      <c r="BI157" s="179">
        <f t="shared" si="77"/>
        <v>0</v>
      </c>
      <c r="BJ157" s="259">
        <f t="shared" si="46"/>
        <v>1</v>
      </c>
      <c r="BK157" s="14">
        <f t="shared" si="78"/>
        <v>344211.17200000002</v>
      </c>
      <c r="BL157" s="14">
        <f t="shared" si="68"/>
        <v>193834</v>
      </c>
      <c r="BM157" s="262">
        <f t="shared" si="69"/>
        <v>56.312524336078198</v>
      </c>
    </row>
    <row r="158" spans="1:65" x14ac:dyDescent="0.2">
      <c r="A158" s="135">
        <v>43394</v>
      </c>
      <c r="B158" s="5">
        <v>297185</v>
      </c>
      <c r="C158" s="130">
        <v>5388</v>
      </c>
      <c r="D158" s="14">
        <v>2.38</v>
      </c>
      <c r="E158" s="130">
        <v>23321</v>
      </c>
      <c r="F158" s="186">
        <v>4.0500000000000001E-2</v>
      </c>
      <c r="G158" s="165">
        <f t="shared" si="80"/>
        <v>547</v>
      </c>
      <c r="H158" s="208">
        <v>547</v>
      </c>
      <c r="I158" s="198">
        <v>0</v>
      </c>
      <c r="J158" s="216"/>
      <c r="K158" s="216"/>
      <c r="L158" s="216"/>
      <c r="M158" s="130">
        <v>115541</v>
      </c>
      <c r="N158" s="144">
        <v>28821</v>
      </c>
      <c r="O158" s="14">
        <v>0</v>
      </c>
      <c r="P158" s="213">
        <f t="shared" si="27"/>
        <v>10557.923000000001</v>
      </c>
      <c r="Q158" s="180">
        <v>3315.21</v>
      </c>
      <c r="R158" s="180">
        <v>359.137</v>
      </c>
      <c r="S158" s="180">
        <v>806.74199999999996</v>
      </c>
      <c r="T158" s="159">
        <v>3888.6480000000001</v>
      </c>
      <c r="U158" s="159">
        <v>2188.1860000000001</v>
      </c>
      <c r="V158" s="5">
        <v>220988</v>
      </c>
      <c r="W158" s="194">
        <v>0</v>
      </c>
      <c r="X158" s="194">
        <v>0</v>
      </c>
      <c r="Y158" s="194">
        <v>880</v>
      </c>
      <c r="Z158" s="194">
        <v>2441</v>
      </c>
      <c r="AA158" s="194">
        <v>2066</v>
      </c>
      <c r="AB158" s="194"/>
      <c r="AC158" s="187">
        <v>767</v>
      </c>
      <c r="AD158" s="188">
        <v>0</v>
      </c>
      <c r="AE158" s="213">
        <f t="shared" si="81"/>
        <v>6154</v>
      </c>
      <c r="AF158" s="5">
        <v>130514</v>
      </c>
      <c r="AK158" s="233"/>
      <c r="AO158" s="15">
        <v>115307</v>
      </c>
      <c r="AP158" s="125">
        <f t="shared" si="71"/>
        <v>0.38799737537224288</v>
      </c>
      <c r="AQ158" s="125">
        <v>1.589032258</v>
      </c>
      <c r="AR158" s="159">
        <v>36075</v>
      </c>
      <c r="AS158" s="159">
        <v>13558</v>
      </c>
      <c r="AT158" s="159"/>
      <c r="AU158" s="101">
        <v>45583</v>
      </c>
      <c r="AV158" s="125">
        <f t="shared" si="79"/>
        <v>0.54383943671450452</v>
      </c>
      <c r="AW158" s="125">
        <f t="shared" si="66"/>
        <v>0.48760536366236518</v>
      </c>
      <c r="AX158" s="125">
        <f t="shared" si="55"/>
        <v>5.6234073052139344E-2</v>
      </c>
      <c r="AY158" s="125">
        <f t="shared" si="72"/>
        <v>0.9315730411917672</v>
      </c>
      <c r="AZ158" s="125">
        <f t="shared" si="73"/>
        <v>0.87560273903460806</v>
      </c>
      <c r="BA158" s="125">
        <f t="shared" si="74"/>
        <v>0.57654714283128494</v>
      </c>
      <c r="BB158" s="125">
        <f t="shared" si="75"/>
        <v>0.67623370611334255</v>
      </c>
      <c r="BC158" s="14">
        <f t="shared" si="43"/>
        <v>276849.53424657532</v>
      </c>
      <c r="BD158" s="14">
        <f t="shared" si="64"/>
        <v>127410</v>
      </c>
      <c r="BE158" s="14">
        <f t="shared" si="65"/>
        <v>149439.53424657535</v>
      </c>
      <c r="BF158" s="14">
        <v>31</v>
      </c>
      <c r="BG158" s="14"/>
      <c r="BH158" s="179">
        <f t="shared" si="76"/>
        <v>0</v>
      </c>
      <c r="BI158" s="179">
        <f t="shared" si="77"/>
        <v>0</v>
      </c>
      <c r="BJ158" s="259">
        <f t="shared" si="46"/>
        <v>1</v>
      </c>
      <c r="BK158" s="14">
        <f t="shared" si="78"/>
        <v>326560.92300000001</v>
      </c>
      <c r="BL158" s="14">
        <f t="shared" si="68"/>
        <v>164940</v>
      </c>
      <c r="BM158" s="262">
        <f t="shared" si="69"/>
        <v>50.50818649235628</v>
      </c>
    </row>
    <row r="159" spans="1:65" x14ac:dyDescent="0.2">
      <c r="A159" s="135">
        <v>43426</v>
      </c>
      <c r="B159" s="5">
        <v>283330</v>
      </c>
      <c r="C159" s="130">
        <v>5082</v>
      </c>
      <c r="D159" s="14">
        <v>2.77</v>
      </c>
      <c r="E159" s="130">
        <v>20911</v>
      </c>
      <c r="F159" s="186">
        <v>4.1500000000000002E-2</v>
      </c>
      <c r="G159" s="165">
        <f t="shared" si="80"/>
        <v>904</v>
      </c>
      <c r="H159" s="208">
        <v>479</v>
      </c>
      <c r="I159" s="198">
        <v>425</v>
      </c>
      <c r="J159" s="216"/>
      <c r="K159" s="216"/>
      <c r="L159" s="216"/>
      <c r="M159" s="130">
        <v>111906</v>
      </c>
      <c r="N159" s="144">
        <v>47924</v>
      </c>
      <c r="O159" s="14">
        <v>0</v>
      </c>
      <c r="P159" s="213">
        <f t="shared" si="27"/>
        <v>9843.0319999999992</v>
      </c>
      <c r="Q159" s="180">
        <v>3088.96</v>
      </c>
      <c r="R159" s="180">
        <v>326.15800000000002</v>
      </c>
      <c r="S159" s="180">
        <v>751.26900000000001</v>
      </c>
      <c r="T159" s="159">
        <v>3870.5929999999998</v>
      </c>
      <c r="U159" s="159">
        <v>1806.0519999999999</v>
      </c>
      <c r="V159" s="5">
        <v>184338</v>
      </c>
      <c r="W159" s="194">
        <v>0</v>
      </c>
      <c r="X159" s="194">
        <v>0</v>
      </c>
      <c r="Y159" s="194">
        <v>0</v>
      </c>
      <c r="Z159" s="194">
        <v>2074</v>
      </c>
      <c r="AA159" s="194">
        <v>1764</v>
      </c>
      <c r="AB159" s="194"/>
      <c r="AC159" s="187">
        <v>1</v>
      </c>
      <c r="AD159" s="188">
        <v>0</v>
      </c>
      <c r="AE159" s="213">
        <f t="shared" si="81"/>
        <v>3839</v>
      </c>
      <c r="AF159" s="5">
        <v>147711</v>
      </c>
      <c r="AK159" s="233"/>
      <c r="AO159" s="15">
        <v>112663</v>
      </c>
      <c r="AP159" s="125">
        <f t="shared" si="71"/>
        <v>0.39763879575053823</v>
      </c>
      <c r="AQ159" s="125">
        <v>1.5701666670000001</v>
      </c>
      <c r="AR159" s="159">
        <v>31673</v>
      </c>
      <c r="AS159" s="159">
        <v>16339</v>
      </c>
      <c r="AT159" s="159"/>
      <c r="AU159" s="101">
        <v>45583</v>
      </c>
      <c r="AV159" s="125">
        <f t="shared" si="79"/>
        <v>0.61559323756750084</v>
      </c>
      <c r="AW159" s="125">
        <f t="shared" si="66"/>
        <v>0.56730314474287935</v>
      </c>
      <c r="AX159" s="125">
        <f t="shared" si="55"/>
        <v>4.8290092824621489E-2</v>
      </c>
      <c r="AY159" s="125">
        <f t="shared" si="72"/>
        <v>0.94560725694274894</v>
      </c>
      <c r="AZ159" s="125">
        <f t="shared" si="73"/>
        <v>0.96494194049341753</v>
      </c>
      <c r="BA159" s="125">
        <f t="shared" si="74"/>
        <v>0.66887999218826288</v>
      </c>
      <c r="BB159" s="125">
        <f t="shared" si="75"/>
        <v>0.78453115532114392</v>
      </c>
      <c r="BC159" s="14">
        <f t="shared" si="43"/>
        <v>267918.90410958906</v>
      </c>
      <c r="BD159" s="14">
        <f t="shared" si="64"/>
        <v>123300</v>
      </c>
      <c r="BE159" s="14">
        <f t="shared" si="65"/>
        <v>144618.90410958903</v>
      </c>
      <c r="BF159" s="14">
        <v>30</v>
      </c>
      <c r="BG159" s="14"/>
      <c r="BH159" s="179">
        <f t="shared" si="76"/>
        <v>0</v>
      </c>
      <c r="BI159" s="179">
        <f t="shared" si="77"/>
        <v>0</v>
      </c>
      <c r="BJ159" s="259">
        <f t="shared" si="46"/>
        <v>1</v>
      </c>
      <c r="BK159" s="14">
        <f t="shared" si="78"/>
        <v>335091.03200000001</v>
      </c>
      <c r="BL159" s="14">
        <f t="shared" si="68"/>
        <v>160675</v>
      </c>
      <c r="BM159" s="262">
        <f t="shared" si="69"/>
        <v>47.949656856230042</v>
      </c>
    </row>
    <row r="160" spans="1:65" x14ac:dyDescent="0.2">
      <c r="A160" s="135">
        <v>43465</v>
      </c>
      <c r="B160" s="5">
        <v>260859</v>
      </c>
      <c r="C160" s="130">
        <v>5178</v>
      </c>
      <c r="D160" s="14">
        <v>15.34</v>
      </c>
      <c r="E160" s="130">
        <v>10835</v>
      </c>
      <c r="F160" s="186">
        <v>4.5699999999999998E-2</v>
      </c>
      <c r="G160" s="165">
        <f t="shared" si="80"/>
        <v>2587</v>
      </c>
      <c r="H160" s="208">
        <v>570</v>
      </c>
      <c r="I160" s="198">
        <v>2017</v>
      </c>
      <c r="J160" s="216"/>
      <c r="K160" s="216"/>
      <c r="L160" s="216"/>
      <c r="M160" s="130">
        <v>116386</v>
      </c>
      <c r="N160" s="144">
        <v>38160</v>
      </c>
      <c r="O160" s="14">
        <v>0</v>
      </c>
      <c r="P160" s="213">
        <f t="shared" si="27"/>
        <v>9499.2950000000001</v>
      </c>
      <c r="Q160" s="180">
        <v>3533.7139999999999</v>
      </c>
      <c r="R160" s="180">
        <v>354.87400000000002</v>
      </c>
      <c r="S160" s="180">
        <v>755.37199999999996</v>
      </c>
      <c r="T160" s="159">
        <v>3297.6849999999999</v>
      </c>
      <c r="U160" s="159">
        <v>1557.65</v>
      </c>
      <c r="V160" s="5">
        <v>149987</v>
      </c>
      <c r="W160" s="194">
        <v>0</v>
      </c>
      <c r="X160" s="194">
        <v>1</v>
      </c>
      <c r="Y160" s="194">
        <v>1673</v>
      </c>
      <c r="Z160" s="194">
        <v>2141</v>
      </c>
      <c r="AA160" s="194">
        <v>1754</v>
      </c>
      <c r="AB160" s="194"/>
      <c r="AC160" s="187">
        <v>0</v>
      </c>
      <c r="AD160" s="188">
        <v>0</v>
      </c>
      <c r="AE160" s="213">
        <f t="shared" si="81"/>
        <v>5569</v>
      </c>
      <c r="AF160" s="5">
        <v>111587</v>
      </c>
      <c r="AK160" s="233"/>
      <c r="AO160" s="15">
        <v>137967</v>
      </c>
      <c r="AP160" s="125">
        <f t="shared" si="71"/>
        <v>0.52889492024426987</v>
      </c>
      <c r="AQ160" s="125">
        <v>1.578387097</v>
      </c>
      <c r="AR160" s="159">
        <v>30268</v>
      </c>
      <c r="AS160" s="159">
        <v>10964</v>
      </c>
      <c r="AT160" s="159"/>
      <c r="AU160" s="101">
        <v>45583</v>
      </c>
      <c r="AV160" s="125">
        <f t="shared" si="79"/>
        <v>0.66013169950049644</v>
      </c>
      <c r="AW160" s="125">
        <f t="shared" si="66"/>
        <v>0.6023675625529501</v>
      </c>
      <c r="AX160" s="125">
        <f t="shared" si="55"/>
        <v>5.7764136947546341E-2</v>
      </c>
      <c r="AY160" s="125">
        <f t="shared" si="72"/>
        <v>1.0612995305761936</v>
      </c>
      <c r="AZ160" s="125">
        <f t="shared" si="73"/>
        <v>1.13126248279722</v>
      </c>
      <c r="BA160" s="125">
        <f t="shared" si="74"/>
        <v>0.8494736210471574</v>
      </c>
      <c r="BB160" s="125">
        <f t="shared" si="75"/>
        <v>0.9963499119695397</v>
      </c>
      <c r="BC160" s="14">
        <f t="shared" ref="BC160:BC186" si="82">BD160+BE160</f>
        <v>276849.53424657532</v>
      </c>
      <c r="BD160" s="14">
        <f t="shared" si="64"/>
        <v>127410</v>
      </c>
      <c r="BE160" s="14">
        <f t="shared" si="65"/>
        <v>149439.53424657535</v>
      </c>
      <c r="BF160" s="14">
        <v>31</v>
      </c>
      <c r="BG160" s="14"/>
      <c r="BH160" s="179">
        <f t="shared" si="76"/>
        <v>0</v>
      </c>
      <c r="BI160" s="179">
        <f t="shared" si="77"/>
        <v>0</v>
      </c>
      <c r="BJ160" s="259">
        <f t="shared" si="46"/>
        <v>1</v>
      </c>
      <c r="BK160" s="14">
        <f t="shared" si="78"/>
        <v>351400.29500000004</v>
      </c>
      <c r="BL160" s="14">
        <f t="shared" si="68"/>
        <v>179199</v>
      </c>
      <c r="BM160" s="262">
        <f t="shared" si="69"/>
        <v>50.995688549436188</v>
      </c>
    </row>
    <row r="161" spans="1:65" x14ac:dyDescent="0.2">
      <c r="A161" s="135">
        <v>43466</v>
      </c>
      <c r="B161" s="5">
        <v>272949</v>
      </c>
      <c r="C161" s="130">
        <v>5295</v>
      </c>
      <c r="D161" s="14">
        <v>15.88</v>
      </c>
      <c r="E161" s="130">
        <v>19184</v>
      </c>
      <c r="F161" s="186">
        <v>5.2949999999999997E-2</v>
      </c>
      <c r="G161" s="165">
        <f t="shared" si="80"/>
        <v>2924</v>
      </c>
      <c r="H161" s="208">
        <v>797</v>
      </c>
      <c r="I161" s="198">
        <v>2127</v>
      </c>
      <c r="J161" s="216"/>
      <c r="K161" s="216"/>
      <c r="L161" s="216"/>
      <c r="M161" s="130">
        <v>105719</v>
      </c>
      <c r="N161" s="144">
        <v>29476</v>
      </c>
      <c r="O161" s="14">
        <v>0</v>
      </c>
      <c r="P161" s="213">
        <f t="shared" si="27"/>
        <v>9144.4880000000012</v>
      </c>
      <c r="Q161" s="180">
        <v>5267.56</v>
      </c>
      <c r="R161" s="180">
        <v>353.988</v>
      </c>
      <c r="S161" s="180">
        <v>706.78300000000002</v>
      </c>
      <c r="T161" s="159">
        <v>2636.8939999999998</v>
      </c>
      <c r="U161" s="159">
        <v>179.26300000000001</v>
      </c>
      <c r="V161" s="5">
        <v>149987</v>
      </c>
      <c r="W161" s="194">
        <v>0</v>
      </c>
      <c r="X161" s="194">
        <v>1</v>
      </c>
      <c r="Y161" s="194">
        <v>1984</v>
      </c>
      <c r="Z161" s="194">
        <v>2397</v>
      </c>
      <c r="AA161" s="194">
        <v>2272</v>
      </c>
      <c r="AB161" s="194"/>
      <c r="AC161" s="187">
        <v>275</v>
      </c>
      <c r="AD161" s="188">
        <v>0</v>
      </c>
      <c r="AE161" s="213">
        <f t="shared" si="81"/>
        <v>6929</v>
      </c>
      <c r="AF161" s="5">
        <v>111587</v>
      </c>
      <c r="AK161" s="233"/>
      <c r="AO161" s="15">
        <v>153457</v>
      </c>
      <c r="AP161" s="125">
        <f t="shared" si="71"/>
        <v>0.56221858295872118</v>
      </c>
      <c r="AQ161" s="125">
        <v>1.63</v>
      </c>
      <c r="AR161" s="159">
        <v>30426</v>
      </c>
      <c r="AS161" s="159">
        <v>11252</v>
      </c>
      <c r="AT161" s="159"/>
      <c r="AU161" s="101">
        <v>45583</v>
      </c>
      <c r="AV161" s="125">
        <f t="shared" si="79"/>
        <v>0.56491318158337278</v>
      </c>
      <c r="AW161" s="125">
        <f t="shared" si="66"/>
        <v>0.50602493506112867</v>
      </c>
      <c r="AX161" s="125">
        <f t="shared" si="55"/>
        <v>5.8888246522244114E-2</v>
      </c>
      <c r="AY161" s="125">
        <f t="shared" si="72"/>
        <v>1.0142903408569928</v>
      </c>
      <c r="AZ161" s="125">
        <f t="shared" si="73"/>
        <v>1.06824351801985</v>
      </c>
      <c r="BA161" s="125">
        <f t="shared" si="74"/>
        <v>0.8494736210471574</v>
      </c>
      <c r="BB161" s="125">
        <f t="shared" si="75"/>
        <v>0.9963499119695397</v>
      </c>
      <c r="BC161" s="14">
        <f t="shared" si="82"/>
        <v>276849.53424657532</v>
      </c>
      <c r="BD161" s="14">
        <f t="shared" si="64"/>
        <v>127410</v>
      </c>
      <c r="BE161" s="14">
        <f t="shared" si="65"/>
        <v>149439.53424657535</v>
      </c>
      <c r="BF161" s="14">
        <v>31</v>
      </c>
      <c r="BG161" s="14"/>
      <c r="BH161" s="179">
        <f t="shared" si="76"/>
        <v>0</v>
      </c>
      <c r="BI161" s="179">
        <f t="shared" si="77"/>
        <v>0</v>
      </c>
      <c r="BJ161" s="259">
        <f t="shared" si="46"/>
        <v>1</v>
      </c>
      <c r="BK161" s="14">
        <f t="shared" si="78"/>
        <v>349327.48800000001</v>
      </c>
      <c r="BL161" s="14">
        <f t="shared" si="68"/>
        <v>195135</v>
      </c>
      <c r="BM161" s="262">
        <f t="shared" si="69"/>
        <v>55.860190423949689</v>
      </c>
    </row>
    <row r="162" spans="1:65" x14ac:dyDescent="0.2">
      <c r="A162" s="135">
        <v>43498</v>
      </c>
      <c r="B162" s="5">
        <v>282278</v>
      </c>
      <c r="C162" s="130">
        <v>4782</v>
      </c>
      <c r="D162" s="14">
        <v>16.78</v>
      </c>
      <c r="E162" s="130">
        <v>18930</v>
      </c>
      <c r="F162" s="186">
        <v>5.28E-2</v>
      </c>
      <c r="G162" s="165">
        <f t="shared" si="80"/>
        <v>2598</v>
      </c>
      <c r="H162" s="208">
        <v>288</v>
      </c>
      <c r="I162" s="198">
        <v>2310</v>
      </c>
      <c r="J162" s="216"/>
      <c r="K162" s="216"/>
      <c r="L162" s="216"/>
      <c r="M162" s="130">
        <v>77847</v>
      </c>
      <c r="N162" s="144">
        <v>13625</v>
      </c>
      <c r="O162" s="14">
        <v>0</v>
      </c>
      <c r="P162" s="213">
        <f t="shared" si="27"/>
        <v>8884.0869999999995</v>
      </c>
      <c r="Q162" s="180">
        <v>4572.8599999999997</v>
      </c>
      <c r="R162" s="180">
        <v>380.28899999999999</v>
      </c>
      <c r="S162" s="180">
        <v>647.23299999999995</v>
      </c>
      <c r="T162" s="159">
        <v>3271.578</v>
      </c>
      <c r="U162" s="159">
        <v>12.127000000000001</v>
      </c>
      <c r="V162" s="5">
        <v>167123</v>
      </c>
      <c r="W162" s="194">
        <v>0</v>
      </c>
      <c r="X162" s="194">
        <v>0</v>
      </c>
      <c r="Y162" s="194">
        <v>1848</v>
      </c>
      <c r="Z162" s="194">
        <v>1422</v>
      </c>
      <c r="AA162" s="194">
        <v>1199</v>
      </c>
      <c r="AB162" s="194"/>
      <c r="AC162" s="187">
        <v>40</v>
      </c>
      <c r="AD162" s="188">
        <v>0</v>
      </c>
      <c r="AE162" s="213">
        <f t="shared" si="81"/>
        <v>4509</v>
      </c>
      <c r="AF162" s="5">
        <v>111040</v>
      </c>
      <c r="AK162" s="233"/>
      <c r="AO162" s="15">
        <v>159440</v>
      </c>
      <c r="AP162" s="125">
        <f t="shared" si="71"/>
        <v>0.56483324949163594</v>
      </c>
      <c r="AQ162" s="125">
        <v>1.6380357139999999</v>
      </c>
      <c r="AR162" s="159">
        <v>32611</v>
      </c>
      <c r="AS162" s="159">
        <v>13454</v>
      </c>
      <c r="AT162" s="159"/>
      <c r="AU162" s="101">
        <v>45583</v>
      </c>
      <c r="AV162" s="125">
        <f t="shared" si="79"/>
        <v>0.3806994771112166</v>
      </c>
      <c r="AW162" s="125">
        <f t="shared" si="66"/>
        <v>0.33325303424283864</v>
      </c>
      <c r="AX162" s="125">
        <f t="shared" si="55"/>
        <v>4.7446442868377958E-2</v>
      </c>
      <c r="AY162" s="125">
        <f t="shared" si="72"/>
        <v>0.88585594284930613</v>
      </c>
      <c r="AZ162" s="125">
        <f t="shared" si="73"/>
        <v>0.89808628373447452</v>
      </c>
      <c r="BA162" s="125">
        <f t="shared" si="74"/>
        <v>0.68859462790878578</v>
      </c>
      <c r="BB162" s="125">
        <f t="shared" si="75"/>
        <v>0.80765450497906599</v>
      </c>
      <c r="BC162" s="14">
        <f t="shared" si="82"/>
        <v>250057.64383561644</v>
      </c>
      <c r="BD162" s="14">
        <f t="shared" si="64"/>
        <v>115080</v>
      </c>
      <c r="BE162" s="14">
        <f t="shared" si="65"/>
        <v>134977.64383561644</v>
      </c>
      <c r="BF162" s="14">
        <v>28</v>
      </c>
      <c r="BG162" s="14"/>
      <c r="BH162" s="179">
        <f t="shared" si="76"/>
        <v>0</v>
      </c>
      <c r="BI162" s="179">
        <f t="shared" si="77"/>
        <v>0</v>
      </c>
      <c r="BJ162" s="259">
        <f t="shared" si="46"/>
        <v>1</v>
      </c>
      <c r="BK162" s="14">
        <f t="shared" si="78"/>
        <v>312968.087</v>
      </c>
      <c r="BL162" s="14">
        <f t="shared" si="68"/>
        <v>205505</v>
      </c>
      <c r="BM162" s="262">
        <f t="shared" si="69"/>
        <v>65.66324444447271</v>
      </c>
    </row>
    <row r="163" spans="1:65" x14ac:dyDescent="0.2">
      <c r="A163" s="135">
        <v>43527</v>
      </c>
      <c r="B163" s="5">
        <v>279150</v>
      </c>
      <c r="C163" s="130">
        <v>4934</v>
      </c>
      <c r="D163" s="14">
        <v>16.84</v>
      </c>
      <c r="E163" s="130">
        <v>24659</v>
      </c>
      <c r="F163" s="186">
        <v>5.8200000000000002E-2</v>
      </c>
      <c r="G163" s="165">
        <f t="shared" si="80"/>
        <v>3146</v>
      </c>
      <c r="H163" s="208">
        <v>581</v>
      </c>
      <c r="I163" s="198">
        <v>2565</v>
      </c>
      <c r="J163" s="216"/>
      <c r="K163" s="216"/>
      <c r="L163" s="216"/>
      <c r="M163" s="130">
        <v>80192</v>
      </c>
      <c r="N163" s="144">
        <v>36908</v>
      </c>
      <c r="O163" s="14">
        <v>0</v>
      </c>
      <c r="P163" s="213">
        <f t="shared" si="27"/>
        <v>8494.5370000000003</v>
      </c>
      <c r="Q163" s="180">
        <v>4526.72</v>
      </c>
      <c r="R163" s="180">
        <v>296.94200000000001</v>
      </c>
      <c r="S163" s="180">
        <v>98.795000000000002</v>
      </c>
      <c r="T163" s="159">
        <v>3422.08</v>
      </c>
      <c r="U163" s="159">
        <v>150</v>
      </c>
      <c r="V163" s="5">
        <v>222281</v>
      </c>
      <c r="W163" s="194">
        <v>0</v>
      </c>
      <c r="X163" s="194">
        <v>0</v>
      </c>
      <c r="Y163" s="194">
        <v>1857</v>
      </c>
      <c r="Z163" s="194">
        <v>1511</v>
      </c>
      <c r="AA163" s="194">
        <v>1232</v>
      </c>
      <c r="AB163" s="194"/>
      <c r="AC163" s="187">
        <v>0</v>
      </c>
      <c r="AD163" s="188">
        <v>0</v>
      </c>
      <c r="AE163" s="213">
        <f t="shared" si="81"/>
        <v>4600</v>
      </c>
      <c r="AF163" s="5">
        <v>132670</v>
      </c>
      <c r="AK163" s="233"/>
      <c r="AO163" s="15">
        <v>167225</v>
      </c>
      <c r="AP163" s="125">
        <f t="shared" si="71"/>
        <v>0.59905068959340857</v>
      </c>
      <c r="AQ163" s="125">
        <v>1.541803279</v>
      </c>
      <c r="AR163" s="159">
        <v>36752</v>
      </c>
      <c r="AS163" s="159">
        <v>14875</v>
      </c>
      <c r="AT163" s="159"/>
      <c r="AU163" s="101">
        <v>45583</v>
      </c>
      <c r="AV163" s="125">
        <f t="shared" si="79"/>
        <v>0.47766626186638012</v>
      </c>
      <c r="AW163" s="125">
        <f t="shared" si="66"/>
        <v>0.43075765717356262</v>
      </c>
      <c r="AX163" s="125">
        <f t="shared" ref="AX163:AX186" si="83">AV163-AW163</f>
        <v>4.690860469281749E-2</v>
      </c>
      <c r="AY163" s="125">
        <f t="shared" si="72"/>
        <v>0.99175903366138396</v>
      </c>
      <c r="AZ163" s="125">
        <f t="shared" si="73"/>
        <v>1.0298083467669712</v>
      </c>
      <c r="BA163" s="125">
        <f t="shared" si="74"/>
        <v>0.5731933903482529</v>
      </c>
      <c r="BB163" s="125">
        <f t="shared" si="75"/>
        <v>0.67230008073823377</v>
      </c>
      <c r="BC163" s="14">
        <f t="shared" si="82"/>
        <v>276849.53424657532</v>
      </c>
      <c r="BD163" s="14">
        <f t="shared" si="64"/>
        <v>127410</v>
      </c>
      <c r="BE163" s="14">
        <f t="shared" si="65"/>
        <v>149439.53424657535</v>
      </c>
      <c r="BF163" s="14">
        <v>31</v>
      </c>
      <c r="BG163" s="14"/>
      <c r="BH163" s="179">
        <f t="shared" si="76"/>
        <v>0</v>
      </c>
      <c r="BI163" s="179">
        <f t="shared" si="77"/>
        <v>0</v>
      </c>
      <c r="BJ163" s="259">
        <f t="shared" si="46"/>
        <v>1</v>
      </c>
      <c r="BK163" s="14">
        <f t="shared" si="78"/>
        <v>352192.53700000001</v>
      </c>
      <c r="BL163" s="14">
        <f t="shared" si="68"/>
        <v>218852</v>
      </c>
      <c r="BM163" s="262">
        <f t="shared" si="69"/>
        <v>62.1398743608244</v>
      </c>
    </row>
    <row r="164" spans="1:65" x14ac:dyDescent="0.2">
      <c r="A164" s="135">
        <v>43559</v>
      </c>
      <c r="B164" s="5">
        <v>301510</v>
      </c>
      <c r="C164" s="130">
        <v>5704</v>
      </c>
      <c r="D164" s="14">
        <v>12.94</v>
      </c>
      <c r="E164" s="130">
        <v>18073</v>
      </c>
      <c r="F164" s="186">
        <v>5.704E-2</v>
      </c>
      <c r="G164" s="165">
        <f t="shared" si="80"/>
        <v>2572</v>
      </c>
      <c r="H164" s="208">
        <v>443</v>
      </c>
      <c r="I164" s="198">
        <v>2129</v>
      </c>
      <c r="J164" s="216"/>
      <c r="K164" s="216"/>
      <c r="L164" s="216"/>
      <c r="M164" s="130">
        <v>90931</v>
      </c>
      <c r="N164" s="144">
        <v>36217</v>
      </c>
      <c r="O164" s="14">
        <v>0</v>
      </c>
      <c r="P164" s="213">
        <f t="shared" si="27"/>
        <v>8704.4680000000008</v>
      </c>
      <c r="Q164" s="180">
        <v>3673.96</v>
      </c>
      <c r="R164" s="180">
        <v>2.427</v>
      </c>
      <c r="S164" s="180">
        <v>550.08100000000002</v>
      </c>
      <c r="T164" s="159">
        <v>4328</v>
      </c>
      <c r="U164" s="159">
        <v>150</v>
      </c>
      <c r="V164" s="5">
        <v>188909</v>
      </c>
      <c r="W164" s="194">
        <v>0</v>
      </c>
      <c r="X164" s="194">
        <v>0</v>
      </c>
      <c r="Y164" s="194">
        <v>1821</v>
      </c>
      <c r="Z164" s="194">
        <v>1124</v>
      </c>
      <c r="AA164" s="194">
        <v>946</v>
      </c>
      <c r="AB164" s="194"/>
      <c r="AC164" s="187">
        <v>0</v>
      </c>
      <c r="AD164" s="188">
        <v>0</v>
      </c>
      <c r="AE164" s="213">
        <f t="shared" si="81"/>
        <v>3891</v>
      </c>
      <c r="AF164" s="5">
        <v>100044</v>
      </c>
      <c r="AK164" s="233"/>
      <c r="AO164" s="15">
        <v>139803</v>
      </c>
      <c r="AP164" s="125">
        <f t="shared" si="71"/>
        <v>0.46367616331133293</v>
      </c>
      <c r="AQ164" s="125">
        <v>1.6143333</v>
      </c>
      <c r="AR164" s="159">
        <v>36371</v>
      </c>
      <c r="AS164" s="159">
        <v>11563</v>
      </c>
      <c r="AT164" s="159"/>
      <c r="AU164" s="101">
        <v>45583</v>
      </c>
      <c r="AV164" s="125">
        <f t="shared" si="79"/>
        <v>0.47200911412556795</v>
      </c>
      <c r="AW164" s="125">
        <f t="shared" si="66"/>
        <v>0.43023448641836093</v>
      </c>
      <c r="AX164" s="125">
        <f t="shared" si="83"/>
        <v>4.1774627707207024E-2</v>
      </c>
      <c r="AY164" s="125">
        <f t="shared" si="72"/>
        <v>0.88859044180819557</v>
      </c>
      <c r="AZ164" s="125">
        <f t="shared" si="73"/>
        <v>0.89391064972969392</v>
      </c>
      <c r="BA164" s="125">
        <f t="shared" si="74"/>
        <v>0.65269521303908229</v>
      </c>
      <c r="BB164" s="125">
        <f t="shared" si="75"/>
        <v>0.76554798400070423</v>
      </c>
      <c r="BC164" s="14">
        <f t="shared" si="82"/>
        <v>267918.90410958906</v>
      </c>
      <c r="BD164" s="14">
        <f t="shared" si="64"/>
        <v>123300</v>
      </c>
      <c r="BE164" s="14">
        <f t="shared" si="65"/>
        <v>144618.90410958903</v>
      </c>
      <c r="BF164" s="14">
        <v>30</v>
      </c>
      <c r="BG164" s="14"/>
      <c r="BH164" s="179">
        <f t="shared" si="76"/>
        <v>0</v>
      </c>
      <c r="BI164" s="179">
        <f t="shared" si="77"/>
        <v>0</v>
      </c>
      <c r="BJ164" s="259">
        <f t="shared" si="46"/>
        <v>1</v>
      </c>
      <c r="BK164" s="14">
        <f t="shared" si="78"/>
        <v>330052.46799999999</v>
      </c>
      <c r="BL164" s="14">
        <f t="shared" si="68"/>
        <v>187737</v>
      </c>
      <c r="BM164" s="262">
        <f t="shared" si="69"/>
        <v>56.880956272685715</v>
      </c>
    </row>
    <row r="165" spans="1:65" x14ac:dyDescent="0.2">
      <c r="A165" s="135">
        <v>43590</v>
      </c>
      <c r="B165" s="5">
        <v>300039</v>
      </c>
      <c r="C165" s="130">
        <v>5759</v>
      </c>
      <c r="D165" s="14">
        <v>12.64</v>
      </c>
      <c r="E165" s="130">
        <v>21396</v>
      </c>
      <c r="F165" s="186">
        <v>6.3600000000000004E-2</v>
      </c>
      <c r="G165" s="165">
        <f t="shared" si="80"/>
        <v>2418</v>
      </c>
      <c r="H165" s="208">
        <v>196</v>
      </c>
      <c r="I165" s="198">
        <v>2222</v>
      </c>
      <c r="J165" s="216"/>
      <c r="K165" s="216"/>
      <c r="L165" s="216"/>
      <c r="M165" s="130">
        <v>105603</v>
      </c>
      <c r="N165" s="144">
        <v>28821</v>
      </c>
      <c r="O165" s="14">
        <v>0</v>
      </c>
      <c r="P165" s="213">
        <f t="shared" ref="P165:P186" si="84">Q165+R165+S165+T165+U165</f>
        <v>9435.7249999999985</v>
      </c>
      <c r="Q165" s="180">
        <v>4044.86</v>
      </c>
      <c r="R165" s="180">
        <v>109.592</v>
      </c>
      <c r="S165" s="180">
        <v>47.758000000000003</v>
      </c>
      <c r="T165" s="159">
        <v>4707.4799999999996</v>
      </c>
      <c r="U165" s="159">
        <v>526.03499999999997</v>
      </c>
      <c r="V165" s="5">
        <v>172722</v>
      </c>
      <c r="W165" s="194">
        <v>0</v>
      </c>
      <c r="X165" s="194">
        <v>0</v>
      </c>
      <c r="Y165" s="194">
        <v>1819</v>
      </c>
      <c r="Z165" s="194">
        <v>2056</v>
      </c>
      <c r="AA165" s="194">
        <v>1719</v>
      </c>
      <c r="AB165" s="194"/>
      <c r="AC165" s="187">
        <v>0</v>
      </c>
      <c r="AD165" s="188">
        <v>0</v>
      </c>
      <c r="AE165" s="213">
        <f t="shared" si="81"/>
        <v>5594</v>
      </c>
      <c r="AF165" s="5">
        <v>118930</v>
      </c>
      <c r="AK165" s="233"/>
      <c r="AO165" s="15">
        <v>140925</v>
      </c>
      <c r="AP165" s="125">
        <f t="shared" si="71"/>
        <v>0.46968894043774312</v>
      </c>
      <c r="AQ165" s="125">
        <v>1.4888709680000001</v>
      </c>
      <c r="AR165" s="159">
        <v>35654</v>
      </c>
      <c r="AS165" s="159">
        <v>17245</v>
      </c>
      <c r="AT165" s="159"/>
      <c r="AU165" s="101">
        <v>45583</v>
      </c>
      <c r="AV165" s="125">
        <f t="shared" si="79"/>
        <v>0.50617328080682844</v>
      </c>
      <c r="AW165" s="125">
        <f t="shared" si="66"/>
        <v>0.45608070950776397</v>
      </c>
      <c r="AX165" s="125">
        <f t="shared" si="83"/>
        <v>5.009257129906447E-2</v>
      </c>
      <c r="AY165" s="125">
        <f t="shared" si="72"/>
        <v>0.92271182828424081</v>
      </c>
      <c r="AZ165" s="125">
        <f t="shared" si="73"/>
        <v>0.92576964994550703</v>
      </c>
      <c r="BA165" s="125">
        <f t="shared" si="74"/>
        <v>0.73765936012783551</v>
      </c>
      <c r="BB165" s="125">
        <f t="shared" si="75"/>
        <v>0.86520266235091847</v>
      </c>
      <c r="BC165" s="14">
        <f t="shared" si="82"/>
        <v>276849.53424657532</v>
      </c>
      <c r="BD165" s="14">
        <f t="shared" si="64"/>
        <v>127410</v>
      </c>
      <c r="BE165" s="14">
        <f t="shared" si="65"/>
        <v>149439.53424657535</v>
      </c>
      <c r="BF165" s="14">
        <v>31</v>
      </c>
      <c r="BG165" s="14"/>
      <c r="BH165" s="179">
        <f t="shared" si="76"/>
        <v>0</v>
      </c>
      <c r="BI165" s="179">
        <f t="shared" si="77"/>
        <v>0</v>
      </c>
      <c r="BJ165" s="259">
        <f t="shared" si="46"/>
        <v>1</v>
      </c>
      <c r="BK165" s="14">
        <f t="shared" si="78"/>
        <v>345695.72499999998</v>
      </c>
      <c r="BL165" s="14">
        <f t="shared" si="68"/>
        <v>193824</v>
      </c>
      <c r="BM165" s="262">
        <f t="shared" si="69"/>
        <v>56.067803557593898</v>
      </c>
    </row>
    <row r="166" spans="1:65" x14ac:dyDescent="0.2">
      <c r="A166" s="135">
        <v>43622</v>
      </c>
      <c r="B166" s="5">
        <v>302236</v>
      </c>
      <c r="C166" s="130">
        <v>5278</v>
      </c>
      <c r="D166" s="14">
        <v>13.66</v>
      </c>
      <c r="E166" s="130">
        <v>18701</v>
      </c>
      <c r="F166" s="186">
        <v>5.7799999999999997E-2</v>
      </c>
      <c r="G166" s="165">
        <f t="shared" si="80"/>
        <v>2327</v>
      </c>
      <c r="H166" s="208">
        <v>194</v>
      </c>
      <c r="I166" s="198">
        <v>2133</v>
      </c>
      <c r="J166" s="216"/>
      <c r="K166" s="216"/>
      <c r="L166" s="216"/>
      <c r="M166" s="130">
        <v>87384</v>
      </c>
      <c r="N166" s="144">
        <v>94107</v>
      </c>
      <c r="O166" s="14">
        <v>0</v>
      </c>
      <c r="P166" s="213">
        <f t="shared" si="84"/>
        <v>7288.1819999999998</v>
      </c>
      <c r="Q166" s="180">
        <v>3335.39</v>
      </c>
      <c r="R166" s="180">
        <v>377.30200000000002</v>
      </c>
      <c r="S166" s="180">
        <v>0</v>
      </c>
      <c r="T166" s="159">
        <v>3575.49</v>
      </c>
      <c r="U166" s="159">
        <v>0</v>
      </c>
      <c r="V166" s="5">
        <v>219213</v>
      </c>
      <c r="W166" s="194">
        <v>0</v>
      </c>
      <c r="X166" s="194">
        <v>0</v>
      </c>
      <c r="Y166" s="194">
        <v>1567</v>
      </c>
      <c r="Z166" s="194">
        <v>2078</v>
      </c>
      <c r="AA166" s="194">
        <v>1776</v>
      </c>
      <c r="AB166" s="194"/>
      <c r="AC166" s="187">
        <v>0</v>
      </c>
      <c r="AD166" s="188">
        <v>0</v>
      </c>
      <c r="AE166" s="213">
        <f t="shared" si="81"/>
        <v>5421</v>
      </c>
      <c r="AF166" s="5">
        <v>129707</v>
      </c>
      <c r="AK166" s="233"/>
      <c r="AO166" s="15">
        <v>92094</v>
      </c>
      <c r="AP166" s="125">
        <f t="shared" si="71"/>
        <v>0.30470890297648195</v>
      </c>
      <c r="AQ166" s="125">
        <v>1.633</v>
      </c>
      <c r="AR166" s="159">
        <v>38591</v>
      </c>
      <c r="AS166" s="159">
        <v>15997</v>
      </c>
      <c r="AT166" s="159"/>
      <c r="AU166" s="101">
        <v>45583</v>
      </c>
      <c r="AV166" s="125">
        <f t="shared" si="79"/>
        <v>0.65024412048862479</v>
      </c>
      <c r="AW166" s="125">
        <f t="shared" si="66"/>
        <v>0.60819359705660481</v>
      </c>
      <c r="AX166" s="125">
        <f t="shared" si="83"/>
        <v>4.2050523432019982E-2</v>
      </c>
      <c r="AY166" s="125">
        <f t="shared" si="72"/>
        <v>0.88645596192905229</v>
      </c>
      <c r="AZ166" s="125">
        <f t="shared" si="73"/>
        <v>0.91290250003308671</v>
      </c>
      <c r="BA166" s="125">
        <f t="shared" si="74"/>
        <v>0.56246664203309116</v>
      </c>
      <c r="BB166" s="125">
        <f t="shared" si="75"/>
        <v>0.65971864857279916</v>
      </c>
      <c r="BC166" s="14">
        <f t="shared" si="82"/>
        <v>267918.90410958906</v>
      </c>
      <c r="BD166" s="14">
        <f t="shared" si="64"/>
        <v>123300</v>
      </c>
      <c r="BE166" s="14">
        <f t="shared" si="65"/>
        <v>144618.90410958903</v>
      </c>
      <c r="BF166" s="14">
        <v>30</v>
      </c>
      <c r="BG166" s="14"/>
      <c r="BH166" s="179">
        <f t="shared" si="76"/>
        <v>0</v>
      </c>
      <c r="BI166" s="179">
        <f t="shared" si="77"/>
        <v>0</v>
      </c>
      <c r="BJ166" s="259">
        <f t="shared" si="46"/>
        <v>1</v>
      </c>
      <c r="BK166" s="14">
        <f t="shared" si="78"/>
        <v>343209.18200000003</v>
      </c>
      <c r="BL166" s="14">
        <f t="shared" si="68"/>
        <v>146682</v>
      </c>
      <c r="BM166" s="262">
        <f t="shared" si="69"/>
        <v>42.738367063850866</v>
      </c>
    </row>
    <row r="167" spans="1:65" x14ac:dyDescent="0.2">
      <c r="A167" s="135">
        <v>43653</v>
      </c>
      <c r="B167" s="5">
        <v>233199</v>
      </c>
      <c r="C167" s="130">
        <v>3151</v>
      </c>
      <c r="D167" s="14">
        <v>13.35</v>
      </c>
      <c r="E167" s="130">
        <v>13281</v>
      </c>
      <c r="F167" s="186">
        <v>5.7000000000000002E-2</v>
      </c>
      <c r="G167" s="165">
        <f t="shared" si="80"/>
        <v>3046</v>
      </c>
      <c r="H167" s="208">
        <v>1046</v>
      </c>
      <c r="I167" s="198">
        <v>2000</v>
      </c>
      <c r="J167" s="216"/>
      <c r="K167" s="216"/>
      <c r="L167" s="216"/>
      <c r="M167" s="130">
        <v>88673</v>
      </c>
      <c r="N167" s="144">
        <v>51832</v>
      </c>
      <c r="O167" s="14">
        <v>0</v>
      </c>
      <c r="P167" s="213">
        <f t="shared" si="84"/>
        <v>9539.5429999999997</v>
      </c>
      <c r="Q167" s="180">
        <v>3349.66</v>
      </c>
      <c r="R167" s="180">
        <v>406.90699999999998</v>
      </c>
      <c r="S167" s="180">
        <v>0</v>
      </c>
      <c r="T167" s="159">
        <v>4284.1099999999997</v>
      </c>
      <c r="U167" s="159">
        <v>1498.866</v>
      </c>
      <c r="V167" s="5">
        <v>217216</v>
      </c>
      <c r="W167" s="194">
        <v>0</v>
      </c>
      <c r="X167" s="194">
        <v>0</v>
      </c>
      <c r="Y167" s="194">
        <v>1559</v>
      </c>
      <c r="Z167" s="194">
        <v>2338</v>
      </c>
      <c r="AA167" s="194">
        <v>2073</v>
      </c>
      <c r="AB167" s="194"/>
      <c r="AC167" s="187">
        <v>0</v>
      </c>
      <c r="AD167" s="188">
        <v>0</v>
      </c>
      <c r="AE167" s="213">
        <f t="shared" si="81"/>
        <v>5970</v>
      </c>
      <c r="AF167" s="5">
        <v>117412</v>
      </c>
      <c r="AK167" s="233"/>
      <c r="AO167" s="15">
        <v>242839</v>
      </c>
      <c r="AP167" s="125">
        <f t="shared" si="71"/>
        <v>1.0413380846401572</v>
      </c>
      <c r="AQ167" s="125">
        <v>1.3582258060000001</v>
      </c>
      <c r="AR167" s="159">
        <v>46283</v>
      </c>
      <c r="AS167" s="159">
        <v>14961</v>
      </c>
      <c r="AT167" s="159"/>
      <c r="AU167" s="101">
        <v>45583</v>
      </c>
      <c r="AV167" s="125">
        <f t="shared" si="79"/>
        <v>0.68208072504599082</v>
      </c>
      <c r="AW167" s="125">
        <f t="shared" si="66"/>
        <v>0.61557296557875463</v>
      </c>
      <c r="AX167" s="125">
        <f t="shared" si="83"/>
        <v>6.6507759467236194E-2</v>
      </c>
      <c r="AY167" s="125">
        <f t="shared" si="72"/>
        <v>1.1871814812523867</v>
      </c>
      <c r="AZ167" s="125">
        <f t="shared" si="73"/>
        <v>1.6569110502189117</v>
      </c>
      <c r="BA167" s="125">
        <f t="shared" si="74"/>
        <v>0.58655900117855042</v>
      </c>
      <c r="BB167" s="125">
        <f t="shared" si="75"/>
        <v>0.68797664189827334</v>
      </c>
      <c r="BC167" s="14">
        <f t="shared" si="82"/>
        <v>276849.53424657532</v>
      </c>
      <c r="BD167" s="14">
        <f t="shared" si="64"/>
        <v>127410</v>
      </c>
      <c r="BE167" s="14">
        <f t="shared" si="65"/>
        <v>149439.53424657535</v>
      </c>
      <c r="BF167" s="14">
        <v>31</v>
      </c>
      <c r="BG167" s="14"/>
      <c r="BH167" s="179">
        <f t="shared" si="76"/>
        <v>0</v>
      </c>
      <c r="BI167" s="179">
        <f t="shared" si="77"/>
        <v>0</v>
      </c>
      <c r="BJ167" s="259">
        <f t="shared" si="46"/>
        <v>1</v>
      </c>
      <c r="BK167" s="14">
        <f t="shared" si="78"/>
        <v>463143.54300000001</v>
      </c>
      <c r="BL167" s="14">
        <f t="shared" si="68"/>
        <v>304083</v>
      </c>
      <c r="BM167" s="262">
        <f t="shared" si="69"/>
        <v>65.656318563853972</v>
      </c>
    </row>
    <row r="168" spans="1:65" x14ac:dyDescent="0.2">
      <c r="A168" s="135">
        <v>43684</v>
      </c>
      <c r="B168" s="5">
        <v>293098</v>
      </c>
      <c r="C168" s="130">
        <v>4889</v>
      </c>
      <c r="D168" s="14">
        <v>12.75</v>
      </c>
      <c r="E168" s="130">
        <v>15099</v>
      </c>
      <c r="F168" s="186">
        <v>6.13E-2</v>
      </c>
      <c r="G168" s="165">
        <f t="shared" si="80"/>
        <v>2378</v>
      </c>
      <c r="H168" s="208">
        <v>1193</v>
      </c>
      <c r="I168" s="198">
        <v>1185</v>
      </c>
      <c r="J168" s="216"/>
      <c r="K168" s="216"/>
      <c r="L168" s="216"/>
      <c r="M168" s="130">
        <v>99961</v>
      </c>
      <c r="N168" s="144">
        <v>27661</v>
      </c>
      <c r="O168" s="14">
        <v>0</v>
      </c>
      <c r="P168" s="213">
        <f t="shared" si="84"/>
        <v>9170.2620000000006</v>
      </c>
      <c r="Q168" s="180">
        <v>3174.51</v>
      </c>
      <c r="R168" s="180">
        <v>438.87599999999998</v>
      </c>
      <c r="S168" s="180">
        <v>400.78500000000003</v>
      </c>
      <c r="T168" s="159">
        <v>3143.38</v>
      </c>
      <c r="U168" s="159">
        <v>2012.711</v>
      </c>
      <c r="V168" s="5">
        <v>284588</v>
      </c>
      <c r="W168" s="194">
        <v>0</v>
      </c>
      <c r="X168" s="194">
        <v>0</v>
      </c>
      <c r="Y168" s="194">
        <v>1843</v>
      </c>
      <c r="Z168" s="194">
        <v>2128</v>
      </c>
      <c r="AA168" s="194">
        <v>1843</v>
      </c>
      <c r="AB168" s="194"/>
      <c r="AC168" s="187">
        <v>0</v>
      </c>
      <c r="AD168" s="188">
        <v>0</v>
      </c>
      <c r="AE168" s="213">
        <f t="shared" si="81"/>
        <v>5814</v>
      </c>
      <c r="AF168" s="5">
        <v>140810</v>
      </c>
      <c r="AK168" s="233"/>
      <c r="AO168" s="15">
        <v>101440</v>
      </c>
      <c r="AP168" s="125">
        <f t="shared" si="71"/>
        <v>0.34609584507570845</v>
      </c>
      <c r="AQ168" s="125">
        <v>1.5916129029999999</v>
      </c>
      <c r="AR168" s="159">
        <v>52809</v>
      </c>
      <c r="AS168" s="159">
        <v>14097</v>
      </c>
      <c r="AT168" s="159"/>
      <c r="AU168" s="101">
        <v>45583</v>
      </c>
      <c r="AV168" s="125">
        <f t="shared" si="79"/>
        <v>0.49466138288217587</v>
      </c>
      <c r="AW168" s="125">
        <f t="shared" si="66"/>
        <v>0.44353765634702386</v>
      </c>
      <c r="AX168" s="125">
        <f t="shared" si="83"/>
        <v>5.1123726535152014E-2</v>
      </c>
      <c r="AY168" s="125">
        <f t="shared" si="72"/>
        <v>0.94456302754223953</v>
      </c>
      <c r="AZ168" s="125">
        <f t="shared" si="73"/>
        <v>0.78963350142273236</v>
      </c>
      <c r="BA168" s="125">
        <f t="shared" si="74"/>
        <v>0.44769983274066372</v>
      </c>
      <c r="BB168" s="125">
        <f t="shared" si="75"/>
        <v>0.52510834696675668</v>
      </c>
      <c r="BC168" s="14">
        <f t="shared" si="82"/>
        <v>276849.53424657532</v>
      </c>
      <c r="BD168" s="14">
        <f t="shared" si="64"/>
        <v>127410</v>
      </c>
      <c r="BE168" s="14">
        <f t="shared" si="65"/>
        <v>149439.53424657535</v>
      </c>
      <c r="BF168" s="14">
        <v>31</v>
      </c>
      <c r="BG168" s="14"/>
      <c r="BH168" s="179">
        <f t="shared" si="76"/>
        <v>0</v>
      </c>
      <c r="BI168" s="179">
        <f t="shared" si="77"/>
        <v>0</v>
      </c>
      <c r="BJ168" s="259">
        <f t="shared" si="46"/>
        <v>1</v>
      </c>
      <c r="BK168" s="14">
        <f t="shared" si="78"/>
        <v>313330.26199999999</v>
      </c>
      <c r="BL168" s="14">
        <f t="shared" si="68"/>
        <v>168346</v>
      </c>
      <c r="BM168" s="262">
        <f t="shared" si="69"/>
        <v>53.727973456965358</v>
      </c>
    </row>
    <row r="169" spans="1:65" x14ac:dyDescent="0.2">
      <c r="A169" s="135">
        <v>43716</v>
      </c>
      <c r="B169" s="5">
        <v>271822</v>
      </c>
      <c r="C169" s="130">
        <v>4963</v>
      </c>
      <c r="D169" s="14">
        <v>13.46</v>
      </c>
      <c r="E169" s="130">
        <v>18723</v>
      </c>
      <c r="F169" s="186">
        <v>5.7099999999999998E-2</v>
      </c>
      <c r="G169" s="165">
        <f t="shared" si="80"/>
        <v>2595</v>
      </c>
      <c r="H169" s="208">
        <v>1049</v>
      </c>
      <c r="I169" s="198">
        <v>1546</v>
      </c>
      <c r="J169" s="216"/>
      <c r="K169" s="216"/>
      <c r="L169" s="216"/>
      <c r="M169" s="130">
        <v>98050</v>
      </c>
      <c r="N169" s="144">
        <v>35564</v>
      </c>
      <c r="O169" s="14">
        <v>0</v>
      </c>
      <c r="P169" s="213">
        <f t="shared" si="84"/>
        <v>7701.8060000000005</v>
      </c>
      <c r="Q169" s="180">
        <v>2936.61</v>
      </c>
      <c r="R169" s="180">
        <v>281.56200000000001</v>
      </c>
      <c r="S169" s="180">
        <v>539.904</v>
      </c>
      <c r="T169" s="159">
        <v>2605.73</v>
      </c>
      <c r="U169" s="159">
        <v>1338</v>
      </c>
      <c r="V169" s="5">
        <v>180492</v>
      </c>
      <c r="W169" s="194">
        <v>0</v>
      </c>
      <c r="X169" s="194">
        <v>0</v>
      </c>
      <c r="Y169" s="194">
        <v>1523</v>
      </c>
      <c r="Z169" s="194">
        <v>2129</v>
      </c>
      <c r="AA169" s="194">
        <v>1828</v>
      </c>
      <c r="AB169" s="194"/>
      <c r="AC169" s="187">
        <v>0</v>
      </c>
      <c r="AD169" s="188">
        <v>0</v>
      </c>
      <c r="AE169" s="213">
        <f t="shared" si="81"/>
        <v>5480</v>
      </c>
      <c r="AF169" s="5">
        <v>122144</v>
      </c>
      <c r="AK169" s="233"/>
      <c r="AO169" s="15">
        <v>69643</v>
      </c>
      <c r="AP169" s="125">
        <f t="shared" si="71"/>
        <v>0.25620810677575767</v>
      </c>
      <c r="AQ169" s="125">
        <v>1.575</v>
      </c>
      <c r="AR169" s="159">
        <v>66239</v>
      </c>
      <c r="AS169" s="159">
        <v>12809</v>
      </c>
      <c r="AT169" s="159"/>
      <c r="AU169" s="101">
        <v>45583</v>
      </c>
      <c r="AV169" s="125">
        <f t="shared" si="79"/>
        <v>0.54959056294192532</v>
      </c>
      <c r="AW169" s="125">
        <f t="shared" si="66"/>
        <v>0.50109630567062269</v>
      </c>
      <c r="AX169" s="125">
        <f t="shared" si="83"/>
        <v>4.8494257271302632E-2</v>
      </c>
      <c r="AY169" s="125">
        <f t="shared" si="72"/>
        <v>0.98564098604818251</v>
      </c>
      <c r="AZ169" s="125">
        <f t="shared" si="73"/>
        <v>0.75730441244638036</v>
      </c>
      <c r="BA169" s="125">
        <f t="shared" si="74"/>
        <v>0.6831327704274982</v>
      </c>
      <c r="BB169" s="125">
        <f t="shared" si="75"/>
        <v>0.80124827753910988</v>
      </c>
      <c r="BC169" s="14">
        <f t="shared" si="82"/>
        <v>267918.90410958906</v>
      </c>
      <c r="BD169" s="14">
        <f t="shared" si="64"/>
        <v>123300</v>
      </c>
      <c r="BE169" s="14">
        <f t="shared" si="65"/>
        <v>144618.90410958903</v>
      </c>
      <c r="BF169" s="14">
        <v>30</v>
      </c>
      <c r="BG169" s="14"/>
      <c r="BH169" s="179">
        <f t="shared" si="76"/>
        <v>0</v>
      </c>
      <c r="BI169" s="179">
        <f t="shared" si="77"/>
        <v>0</v>
      </c>
      <c r="BJ169" s="259">
        <f t="shared" si="46"/>
        <v>1</v>
      </c>
      <c r="BK169" s="14">
        <f t="shared" si="78"/>
        <v>298081.80599999998</v>
      </c>
      <c r="BL169" s="14">
        <f t="shared" si="68"/>
        <v>148691</v>
      </c>
      <c r="BM169" s="262">
        <f t="shared" si="69"/>
        <v>49.882615110027885</v>
      </c>
    </row>
    <row r="170" spans="1:65" ht="16.5" customHeight="1" x14ac:dyDescent="0.2">
      <c r="A170" s="135">
        <v>43747</v>
      </c>
      <c r="B170" s="5">
        <v>285503</v>
      </c>
      <c r="C170" s="130">
        <v>5567</v>
      </c>
      <c r="D170" s="14">
        <v>13.55</v>
      </c>
      <c r="E170" s="130">
        <v>17049</v>
      </c>
      <c r="F170" s="186">
        <v>5.4899999999999997E-2</v>
      </c>
      <c r="G170" s="165">
        <f t="shared" si="80"/>
        <v>3114</v>
      </c>
      <c r="H170" s="208">
        <v>1463</v>
      </c>
      <c r="I170" s="198">
        <v>1651</v>
      </c>
      <c r="J170" s="216"/>
      <c r="K170" s="216"/>
      <c r="L170" s="216"/>
      <c r="M170" s="130">
        <v>102792</v>
      </c>
      <c r="N170" s="144">
        <v>47935</v>
      </c>
      <c r="O170" s="14">
        <v>0</v>
      </c>
      <c r="P170" s="213">
        <f t="shared" si="84"/>
        <v>9795.3060000000005</v>
      </c>
      <c r="Q170" s="180">
        <v>3805.7</v>
      </c>
      <c r="R170" s="180">
        <v>359.846</v>
      </c>
      <c r="S170" s="180">
        <v>389.51</v>
      </c>
      <c r="T170" s="159">
        <v>3421.25</v>
      </c>
      <c r="U170" s="159">
        <v>1819</v>
      </c>
      <c r="V170" s="5">
        <v>211878</v>
      </c>
      <c r="W170" s="194">
        <v>0</v>
      </c>
      <c r="X170" s="194">
        <v>0</v>
      </c>
      <c r="Y170" s="194">
        <v>1521</v>
      </c>
      <c r="Z170" s="194">
        <v>1753</v>
      </c>
      <c r="AA170" s="194">
        <v>1407</v>
      </c>
      <c r="AB170" s="194"/>
      <c r="AC170" s="187">
        <v>865</v>
      </c>
      <c r="AD170" s="188">
        <v>0</v>
      </c>
      <c r="AE170" s="213">
        <f t="shared" si="81"/>
        <v>5546</v>
      </c>
      <c r="AF170" s="5">
        <v>119479</v>
      </c>
      <c r="AK170" s="233"/>
      <c r="AO170" s="15">
        <v>55246</v>
      </c>
      <c r="AP170" s="125">
        <f t="shared" si="71"/>
        <v>0.19350409627919846</v>
      </c>
      <c r="AQ170" s="125">
        <v>1.5457377050000001</v>
      </c>
      <c r="AR170" s="159">
        <v>50429</v>
      </c>
      <c r="AS170" s="159">
        <v>13906</v>
      </c>
      <c r="AT170" s="159"/>
      <c r="AU170" s="101">
        <v>45583</v>
      </c>
      <c r="AV170" s="125">
        <f t="shared" si="79"/>
        <v>0.59257628115991778</v>
      </c>
      <c r="AW170" s="125">
        <f t="shared" si="66"/>
        <v>0.53884197363950637</v>
      </c>
      <c r="AX170" s="125">
        <f t="shared" si="83"/>
        <v>5.3734307520411417E-2</v>
      </c>
      <c r="AY170" s="125">
        <f t="shared" si="72"/>
        <v>0.96969045595519243</v>
      </c>
      <c r="AZ170" s="125">
        <f t="shared" si="73"/>
        <v>0.73234606991870488</v>
      </c>
      <c r="BA170" s="125">
        <f t="shared" si="74"/>
        <v>0.60133661824257356</v>
      </c>
      <c r="BB170" s="125">
        <f t="shared" si="75"/>
        <v>0.70530934899600406</v>
      </c>
      <c r="BC170" s="14">
        <f t="shared" si="82"/>
        <v>276849.53424657532</v>
      </c>
      <c r="BD170" s="14">
        <f t="shared" si="64"/>
        <v>127410</v>
      </c>
      <c r="BE170" s="14">
        <f t="shared" si="65"/>
        <v>149439.53424657535</v>
      </c>
      <c r="BF170" s="14">
        <v>31</v>
      </c>
      <c r="BG170" s="14"/>
      <c r="BH170" s="179">
        <f t="shared" si="76"/>
        <v>0</v>
      </c>
      <c r="BI170" s="179">
        <f t="shared" si="77"/>
        <v>0</v>
      </c>
      <c r="BJ170" s="259">
        <f t="shared" si="46"/>
        <v>1</v>
      </c>
      <c r="BK170" s="14">
        <f t="shared" si="78"/>
        <v>288763.30599999998</v>
      </c>
      <c r="BL170" s="14">
        <f t="shared" si="68"/>
        <v>119581</v>
      </c>
      <c r="BM170" s="262">
        <f t="shared" si="69"/>
        <v>41.411425037501132</v>
      </c>
    </row>
    <row r="171" spans="1:65" ht="13.5" customHeight="1" x14ac:dyDescent="0.2">
      <c r="A171" s="135">
        <v>43779</v>
      </c>
      <c r="B171" s="5">
        <v>270152</v>
      </c>
      <c r="C171" s="130">
        <v>4373</v>
      </c>
      <c r="D171" s="14">
        <v>13.79</v>
      </c>
      <c r="E171" s="130">
        <v>19451</v>
      </c>
      <c r="F171" s="186">
        <v>5.4199999999999998E-2</v>
      </c>
      <c r="G171" s="165">
        <f t="shared" si="80"/>
        <v>2758</v>
      </c>
      <c r="H171" s="208">
        <v>1177</v>
      </c>
      <c r="I171" s="198">
        <v>1581</v>
      </c>
      <c r="J171" s="216"/>
      <c r="K171" s="216"/>
      <c r="L171" s="216"/>
      <c r="M171" s="130">
        <v>92429.5</v>
      </c>
      <c r="N171" s="144">
        <v>26936</v>
      </c>
      <c r="O171" s="14">
        <v>0</v>
      </c>
      <c r="P171" s="213">
        <f t="shared" si="84"/>
        <v>8097.38</v>
      </c>
      <c r="Q171" s="180">
        <v>3290.89</v>
      </c>
      <c r="R171" s="180">
        <v>354.47</v>
      </c>
      <c r="S171" s="180">
        <v>352.4</v>
      </c>
      <c r="T171" s="159">
        <v>3700.03</v>
      </c>
      <c r="U171" s="159">
        <v>399.59</v>
      </c>
      <c r="V171" s="5">
        <v>235915</v>
      </c>
      <c r="W171" s="194">
        <v>0</v>
      </c>
      <c r="X171" s="194">
        <v>0</v>
      </c>
      <c r="Y171" s="194">
        <v>1512</v>
      </c>
      <c r="Z171" s="194">
        <v>2568</v>
      </c>
      <c r="AA171" s="194">
        <v>2159</v>
      </c>
      <c r="AB171" s="194"/>
      <c r="AC171" s="187">
        <v>28</v>
      </c>
      <c r="AD171" s="188">
        <v>0</v>
      </c>
      <c r="AE171" s="213">
        <f t="shared" si="81"/>
        <v>6267</v>
      </c>
      <c r="AF171" s="5">
        <v>142024</v>
      </c>
      <c r="AK171" s="233"/>
      <c r="AO171" s="15">
        <v>101000</v>
      </c>
      <c r="AP171" s="125">
        <f t="shared" si="71"/>
        <v>0.37386360271254698</v>
      </c>
      <c r="AQ171" s="125">
        <v>1.5601666700000001</v>
      </c>
      <c r="AR171" s="159">
        <v>44208</v>
      </c>
      <c r="AS171" s="159">
        <v>12512</v>
      </c>
      <c r="AT171" s="159"/>
      <c r="AU171" s="101">
        <v>45583</v>
      </c>
      <c r="AV171" s="125">
        <f t="shared" si="79"/>
        <v>0.50522624300393859</v>
      </c>
      <c r="AW171" s="125">
        <f t="shared" si="66"/>
        <v>0.45205476916698745</v>
      </c>
      <c r="AX171" s="125">
        <f t="shared" si="83"/>
        <v>5.3171473836951144E-2</v>
      </c>
      <c r="AY171" s="125">
        <f t="shared" si="72"/>
        <v>0.99173392797236026</v>
      </c>
      <c r="AZ171" s="125">
        <f t="shared" si="73"/>
        <v>0.82591837187953443</v>
      </c>
      <c r="BA171" s="125">
        <f t="shared" si="74"/>
        <v>0.52264586821524706</v>
      </c>
      <c r="BB171" s="125">
        <f t="shared" si="75"/>
        <v>0.61301275505834318</v>
      </c>
      <c r="BC171" s="14">
        <f t="shared" si="82"/>
        <v>267918.90410958906</v>
      </c>
      <c r="BD171" s="14">
        <f t="shared" si="64"/>
        <v>123300</v>
      </c>
      <c r="BE171" s="14">
        <f t="shared" si="65"/>
        <v>144618.90410958903</v>
      </c>
      <c r="BF171" s="14">
        <v>30</v>
      </c>
      <c r="BG171" s="14"/>
      <c r="BH171" s="179">
        <f t="shared" si="76"/>
        <v>0</v>
      </c>
      <c r="BI171" s="179">
        <f t="shared" si="77"/>
        <v>0</v>
      </c>
      <c r="BJ171" s="259">
        <f t="shared" si="46"/>
        <v>1</v>
      </c>
      <c r="BK171" s="14">
        <f t="shared" si="78"/>
        <v>294207.88</v>
      </c>
      <c r="BL171" s="14">
        <f t="shared" si="68"/>
        <v>157720</v>
      </c>
      <c r="BM171" s="262">
        <f t="shared" ref="BM171:BM191" si="85">(BL171*100)/BK171</f>
        <v>53.608353386047987</v>
      </c>
    </row>
    <row r="172" spans="1:65" x14ac:dyDescent="0.2">
      <c r="A172" s="135">
        <v>43810</v>
      </c>
      <c r="B172" s="5">
        <v>291794</v>
      </c>
      <c r="C172" s="130">
        <v>5990.5</v>
      </c>
      <c r="D172" s="14">
        <v>14.65</v>
      </c>
      <c r="E172" s="130">
        <v>18059.5</v>
      </c>
      <c r="F172" s="186">
        <v>5.5300000000000002E-2</v>
      </c>
      <c r="G172" s="165">
        <f t="shared" si="80"/>
        <v>3065</v>
      </c>
      <c r="H172" s="208">
        <v>1364</v>
      </c>
      <c r="I172" s="198">
        <v>1701</v>
      </c>
      <c r="J172" s="216"/>
      <c r="K172" s="216"/>
      <c r="L172" s="216"/>
      <c r="M172" s="130">
        <v>96893</v>
      </c>
      <c r="N172" s="144">
        <v>47400</v>
      </c>
      <c r="O172" s="14">
        <v>0</v>
      </c>
      <c r="P172" s="213">
        <f t="shared" si="84"/>
        <v>6261.7159999999994</v>
      </c>
      <c r="Q172" s="180">
        <v>2811.99</v>
      </c>
      <c r="R172" s="180">
        <v>286.935</v>
      </c>
      <c r="S172" s="180">
        <v>272.363</v>
      </c>
      <c r="T172" s="159">
        <v>2033.44</v>
      </c>
      <c r="U172" s="159">
        <v>856.98800000000006</v>
      </c>
      <c r="V172" s="5">
        <v>89545</v>
      </c>
      <c r="W172" s="194">
        <v>0</v>
      </c>
      <c r="X172" s="194">
        <v>0</v>
      </c>
      <c r="Y172" s="194">
        <v>1368</v>
      </c>
      <c r="Z172" s="194">
        <v>1558</v>
      </c>
      <c r="AA172" s="194">
        <v>1335</v>
      </c>
      <c r="AB172" s="194"/>
      <c r="AC172" s="187">
        <v>9</v>
      </c>
      <c r="AD172" s="188">
        <v>0</v>
      </c>
      <c r="AE172" s="213">
        <f t="shared" si="81"/>
        <v>4270</v>
      </c>
      <c r="AF172" s="5">
        <v>71338</v>
      </c>
      <c r="AK172" s="233"/>
      <c r="AO172" s="15">
        <v>37536</v>
      </c>
      <c r="AP172" s="125">
        <f t="shared" si="71"/>
        <v>0.12863869716306708</v>
      </c>
      <c r="AQ172" s="125">
        <v>1.589677419</v>
      </c>
      <c r="AR172" s="159">
        <v>25470</v>
      </c>
      <c r="AS172" s="159">
        <v>7352</v>
      </c>
      <c r="AT172" s="159"/>
      <c r="AU172" s="101">
        <v>45583</v>
      </c>
      <c r="AV172" s="125">
        <f t="shared" si="79"/>
        <v>0.54109994036889031</v>
      </c>
      <c r="AW172" s="125">
        <f t="shared" si="66"/>
        <v>0.50500695696278886</v>
      </c>
      <c r="AX172" s="125">
        <f t="shared" si="83"/>
        <v>3.6092983406101453E-2</v>
      </c>
      <c r="AY172" s="125">
        <f t="shared" si="72"/>
        <v>0.94878419106141776</v>
      </c>
      <c r="AZ172" s="125">
        <f t="shared" si="73"/>
        <v>0.63364565412585594</v>
      </c>
      <c r="BA172" s="125">
        <f t="shared" si="74"/>
        <v>1.4228600145178403</v>
      </c>
      <c r="BB172" s="125">
        <f t="shared" si="75"/>
        <v>1.6688763665930577</v>
      </c>
      <c r="BC172" s="14">
        <f t="shared" si="82"/>
        <v>276849.53424657532</v>
      </c>
      <c r="BD172" s="14">
        <f t="shared" si="64"/>
        <v>127410</v>
      </c>
      <c r="BE172" s="14">
        <f t="shared" si="65"/>
        <v>149439.53424657535</v>
      </c>
      <c r="BF172" s="14">
        <v>31</v>
      </c>
      <c r="BG172" s="14"/>
      <c r="BH172" s="179">
        <f t="shared" si="76"/>
        <v>0</v>
      </c>
      <c r="BI172" s="179">
        <f t="shared" si="77"/>
        <v>0</v>
      </c>
      <c r="BJ172" s="259">
        <f t="shared" si="46"/>
        <v>1</v>
      </c>
      <c r="BK172" s="14">
        <f t="shared" si="78"/>
        <v>228247.71599999999</v>
      </c>
      <c r="BL172" s="14">
        <f t="shared" si="68"/>
        <v>70358</v>
      </c>
      <c r="BM172" s="262">
        <f t="shared" si="85"/>
        <v>30.825281073130213</v>
      </c>
    </row>
    <row r="173" spans="1:65" x14ac:dyDescent="0.2">
      <c r="A173" s="135">
        <v>43842</v>
      </c>
      <c r="B173" s="5">
        <v>278836</v>
      </c>
      <c r="C173" s="130">
        <v>5575</v>
      </c>
      <c r="D173" s="14">
        <v>13.78</v>
      </c>
      <c r="E173" s="130">
        <v>16726</v>
      </c>
      <c r="F173" s="186">
        <v>6.4699999999999994E-2</v>
      </c>
      <c r="G173" s="165">
        <f t="shared" si="80"/>
        <v>2871</v>
      </c>
      <c r="H173" s="208">
        <v>1534</v>
      </c>
      <c r="I173" s="198">
        <v>1337</v>
      </c>
      <c r="J173" s="216"/>
      <c r="K173" s="216"/>
      <c r="L173" s="216"/>
      <c r="M173" s="130">
        <v>80891</v>
      </c>
      <c r="N173" s="144">
        <v>64120</v>
      </c>
      <c r="O173" s="14">
        <v>0</v>
      </c>
      <c r="P173" s="213">
        <f t="shared" si="84"/>
        <v>8346.85</v>
      </c>
      <c r="Q173" s="180">
        <v>3496.38</v>
      </c>
      <c r="R173" s="180">
        <v>333.52499999999998</v>
      </c>
      <c r="S173" s="180">
        <v>383.62599999999998</v>
      </c>
      <c r="T173" s="159">
        <v>3224.5</v>
      </c>
      <c r="U173" s="159">
        <v>908.81899999999996</v>
      </c>
      <c r="V173" s="5">
        <v>165917</v>
      </c>
      <c r="W173" s="194">
        <v>0</v>
      </c>
      <c r="X173" s="194">
        <v>0</v>
      </c>
      <c r="Y173" s="194">
        <v>1478</v>
      </c>
      <c r="Z173" s="194">
        <v>2243</v>
      </c>
      <c r="AA173" s="194">
        <v>1923</v>
      </c>
      <c r="AB173" s="194"/>
      <c r="AC173" s="187">
        <v>0</v>
      </c>
      <c r="AD173" s="188">
        <v>0</v>
      </c>
      <c r="AE173" s="213">
        <f t="shared" si="81"/>
        <v>5644</v>
      </c>
      <c r="AF173" s="5">
        <v>112522</v>
      </c>
      <c r="AK173" s="233"/>
      <c r="AO173" s="15">
        <v>100729</v>
      </c>
      <c r="AP173" s="125">
        <f t="shared" si="71"/>
        <v>0.36124818889956822</v>
      </c>
      <c r="AQ173" s="125">
        <v>1.5981666670000001</v>
      </c>
      <c r="AR173" s="159">
        <v>41334</v>
      </c>
      <c r="AS173" s="159">
        <v>14529</v>
      </c>
      <c r="AT173" s="159"/>
      <c r="AU173" s="101">
        <v>45583</v>
      </c>
      <c r="AV173" s="125">
        <f t="shared" si="79"/>
        <v>0.58053067035820338</v>
      </c>
      <c r="AW173" s="125">
        <f t="shared" si="66"/>
        <v>0.53035476050438246</v>
      </c>
      <c r="AX173" s="125">
        <f t="shared" si="83"/>
        <v>5.0175909853820921E-2</v>
      </c>
      <c r="AY173" s="125">
        <f t="shared" si="72"/>
        <v>0.99287586339846834</v>
      </c>
      <c r="AZ173" s="125">
        <f t="shared" si="73"/>
        <v>0.89160294940395068</v>
      </c>
      <c r="BA173" s="125">
        <f t="shared" si="74"/>
        <v>0.76791407752068808</v>
      </c>
      <c r="BB173" s="125">
        <f t="shared" si="75"/>
        <v>0.90068850236308129</v>
      </c>
      <c r="BC173" s="14">
        <f t="shared" si="82"/>
        <v>276849.53424657532</v>
      </c>
      <c r="BD173" s="14">
        <f t="shared" si="64"/>
        <v>127410</v>
      </c>
      <c r="BE173" s="14">
        <f t="shared" si="65"/>
        <v>149439.53424657535</v>
      </c>
      <c r="BF173" s="14">
        <v>31</v>
      </c>
      <c r="BG173" s="14"/>
      <c r="BH173" s="179">
        <f t="shared" si="76"/>
        <v>0</v>
      </c>
      <c r="BI173" s="179">
        <f t="shared" si="77"/>
        <v>0</v>
      </c>
      <c r="BJ173" s="259">
        <f t="shared" si="46"/>
        <v>1</v>
      </c>
      <c r="BK173" s="14">
        <f t="shared" si="78"/>
        <v>318464.84999999998</v>
      </c>
      <c r="BL173" s="14">
        <f t="shared" si="68"/>
        <v>156592</v>
      </c>
      <c r="BM173" s="262">
        <f t="shared" si="85"/>
        <v>49.170889660193268</v>
      </c>
    </row>
    <row r="174" spans="1:65" x14ac:dyDescent="0.2">
      <c r="A174" s="135">
        <v>43874</v>
      </c>
      <c r="B174" s="5">
        <v>290196</v>
      </c>
      <c r="C174" s="130">
        <v>5733</v>
      </c>
      <c r="D174" s="14">
        <v>13.67</v>
      </c>
      <c r="E174" s="130">
        <v>20583</v>
      </c>
      <c r="F174" s="186">
        <v>5.9700000000000003E-2</v>
      </c>
      <c r="G174" s="165">
        <f t="shared" si="80"/>
        <v>2871</v>
      </c>
      <c r="H174" s="208">
        <v>1534</v>
      </c>
      <c r="I174" s="198">
        <v>1337</v>
      </c>
      <c r="J174" s="216"/>
      <c r="K174" s="216"/>
      <c r="L174" s="216"/>
      <c r="M174" s="130">
        <v>60730</v>
      </c>
      <c r="N174" s="144">
        <v>20469</v>
      </c>
      <c r="O174" s="14">
        <v>0</v>
      </c>
      <c r="P174" s="213">
        <f t="shared" si="84"/>
        <v>8023.1819999999989</v>
      </c>
      <c r="Q174" s="180">
        <v>3052.47</v>
      </c>
      <c r="R174" s="180">
        <v>317.25599999999997</v>
      </c>
      <c r="S174" s="180">
        <v>431.404</v>
      </c>
      <c r="T174" s="159">
        <v>3598.08</v>
      </c>
      <c r="U174" s="159">
        <v>623.97199999999998</v>
      </c>
      <c r="V174" s="5">
        <v>206548</v>
      </c>
      <c r="W174" s="194">
        <v>0</v>
      </c>
      <c r="X174" s="194">
        <v>0</v>
      </c>
      <c r="Y174" s="194">
        <v>1465</v>
      </c>
      <c r="Z174" s="194">
        <v>2363</v>
      </c>
      <c r="AA174" s="194">
        <v>1978</v>
      </c>
      <c r="AB174" s="194"/>
      <c r="AC174" s="187">
        <v>121</v>
      </c>
      <c r="AD174" s="188">
        <v>0</v>
      </c>
      <c r="AE174" s="213">
        <f t="shared" si="81"/>
        <v>5927</v>
      </c>
      <c r="AF174" s="5">
        <v>122576</v>
      </c>
      <c r="AK174" s="233"/>
      <c r="AO174" s="15">
        <v>121546</v>
      </c>
      <c r="AP174" s="125">
        <f t="shared" ref="AP174:AP205" si="86">AO174/B174</f>
        <v>0.41884105914623221</v>
      </c>
      <c r="AQ174" s="125">
        <v>1.661818182</v>
      </c>
      <c r="AR174" s="159">
        <v>44915</v>
      </c>
      <c r="AS174" s="159">
        <v>11836</v>
      </c>
      <c r="AT174" s="159"/>
      <c r="AU174" s="101">
        <v>45583</v>
      </c>
      <c r="AV174" s="125">
        <f t="shared" si="79"/>
        <v>0.3377723400736054</v>
      </c>
      <c r="AW174" s="125">
        <f t="shared" si="66"/>
        <v>0.28970075397317674</v>
      </c>
      <c r="AX174" s="125">
        <f t="shared" si="83"/>
        <v>4.8071586100428665E-2</v>
      </c>
      <c r="AY174" s="125">
        <f t="shared" ref="AY174:AY205" si="87">BC174/B174</f>
        <v>0.89245983394878892</v>
      </c>
      <c r="AZ174" s="125">
        <f t="shared" ref="AZ174:AZ205" si="88">(M174+N174+G174+AO174)/B174</f>
        <v>0.708541813119409</v>
      </c>
      <c r="BA174" s="125">
        <f t="shared" ref="BA174:BA205" si="89">BD174/V174</f>
        <v>0.57705714894358695</v>
      </c>
      <c r="BB174" s="125">
        <f t="shared" ref="BB174:BB194" si="90">BE174/V174</f>
        <v>0.67683189366443997</v>
      </c>
      <c r="BC174" s="14">
        <f t="shared" si="82"/>
        <v>258988.27397260274</v>
      </c>
      <c r="BD174" s="14">
        <f t="shared" si="64"/>
        <v>119190</v>
      </c>
      <c r="BE174" s="14">
        <f t="shared" si="65"/>
        <v>139798.27397260274</v>
      </c>
      <c r="BF174" s="14">
        <v>29</v>
      </c>
      <c r="BG174" s="14"/>
      <c r="BH174" s="179">
        <f t="shared" si="76"/>
        <v>0</v>
      </c>
      <c r="BI174" s="179">
        <f t="shared" si="77"/>
        <v>0</v>
      </c>
      <c r="BJ174" s="259">
        <f t="shared" si="46"/>
        <v>1</v>
      </c>
      <c r="BK174" s="14">
        <f t="shared" si="78"/>
        <v>276317.18200000003</v>
      </c>
      <c r="BL174" s="14">
        <f t="shared" si="68"/>
        <v>178297</v>
      </c>
      <c r="BM174" s="262">
        <f t="shared" si="85"/>
        <v>64.526208145825677</v>
      </c>
    </row>
    <row r="175" spans="1:65" x14ac:dyDescent="0.2">
      <c r="A175" s="135">
        <v>43904</v>
      </c>
      <c r="B175" s="5">
        <v>229984</v>
      </c>
      <c r="C175" s="130">
        <v>3918</v>
      </c>
      <c r="D175" s="14">
        <v>12.66</v>
      </c>
      <c r="E175" s="130">
        <v>16587</v>
      </c>
      <c r="F175" s="186">
        <v>5.7599999999999998E-2</v>
      </c>
      <c r="G175" s="165">
        <f t="shared" si="80"/>
        <v>2376</v>
      </c>
      <c r="H175" s="208">
        <v>667</v>
      </c>
      <c r="I175" s="198">
        <v>1709</v>
      </c>
      <c r="J175" s="216"/>
      <c r="K175" s="216"/>
      <c r="L175" s="216"/>
      <c r="M175" s="130">
        <v>47241</v>
      </c>
      <c r="N175" s="144">
        <v>21847</v>
      </c>
      <c r="O175" s="14">
        <v>0</v>
      </c>
      <c r="P175" s="213">
        <f t="shared" si="84"/>
        <v>7279.9260000000004</v>
      </c>
      <c r="Q175" s="180">
        <v>3562</v>
      </c>
      <c r="R175" s="180">
        <v>218.946</v>
      </c>
      <c r="S175" s="180">
        <v>392.30900000000003</v>
      </c>
      <c r="T175" s="159">
        <v>2567.0100000000002</v>
      </c>
      <c r="U175" s="159">
        <v>539.66099999999994</v>
      </c>
      <c r="V175" s="5">
        <v>206312</v>
      </c>
      <c r="W175" s="194">
        <v>0</v>
      </c>
      <c r="X175" s="194">
        <v>0</v>
      </c>
      <c r="Y175" s="194">
        <v>1389</v>
      </c>
      <c r="Z175" s="194">
        <v>2244</v>
      </c>
      <c r="AA175" s="194">
        <v>1764</v>
      </c>
      <c r="AB175" s="194"/>
      <c r="AC175" s="187">
        <v>92</v>
      </c>
      <c r="AD175" s="188">
        <v>0</v>
      </c>
      <c r="AE175" s="213">
        <f t="shared" si="81"/>
        <v>5489</v>
      </c>
      <c r="AF175" s="5">
        <v>123898</v>
      </c>
      <c r="AK175" s="233"/>
      <c r="AO175" s="15">
        <v>111280</v>
      </c>
      <c r="AP175" s="125">
        <f t="shared" si="86"/>
        <v>0.48385974676499233</v>
      </c>
      <c r="AQ175" s="125">
        <v>1.661818182</v>
      </c>
      <c r="AR175" s="159">
        <v>52182</v>
      </c>
      <c r="AS175" s="159">
        <v>12940</v>
      </c>
      <c r="AT175" s="159"/>
      <c r="AU175" s="101">
        <v>45583</v>
      </c>
      <c r="AV175" s="125">
        <f t="shared" si="79"/>
        <v>0.36625559169333521</v>
      </c>
      <c r="AW175" s="125">
        <f t="shared" si="66"/>
        <v>0.31073465980242104</v>
      </c>
      <c r="AX175" s="125">
        <f t="shared" si="83"/>
        <v>5.5520931890914171E-2</v>
      </c>
      <c r="AY175" s="125">
        <f t="shared" si="87"/>
        <v>1.2037773681933321</v>
      </c>
      <c r="AZ175" s="125">
        <f t="shared" si="88"/>
        <v>0.79459440656741342</v>
      </c>
      <c r="BA175" s="125">
        <f t="shared" si="89"/>
        <v>0.61755981232308343</v>
      </c>
      <c r="BB175" s="125">
        <f t="shared" si="90"/>
        <v>0.72433757729349413</v>
      </c>
      <c r="BC175" s="14">
        <f t="shared" si="82"/>
        <v>276849.53424657532</v>
      </c>
      <c r="BD175" s="14">
        <f t="shared" si="64"/>
        <v>127410</v>
      </c>
      <c r="BE175" s="14">
        <f t="shared" si="65"/>
        <v>149439.53424657535</v>
      </c>
      <c r="BF175" s="14">
        <v>31</v>
      </c>
      <c r="BG175" s="14"/>
      <c r="BH175" s="179">
        <f t="shared" ref="BH175:BH206" si="91">O175/(M175+N175)</f>
        <v>0</v>
      </c>
      <c r="BI175" s="179">
        <f t="shared" ref="BI175:BI206" si="92">AD175/(M175+N175)</f>
        <v>0</v>
      </c>
      <c r="BJ175" s="259">
        <f t="shared" si="46"/>
        <v>1</v>
      </c>
      <c r="BK175" s="14">
        <f t="shared" si="78"/>
        <v>260634.92600000001</v>
      </c>
      <c r="BL175" s="14">
        <f t="shared" si="68"/>
        <v>176402</v>
      </c>
      <c r="BM175" s="262">
        <f t="shared" si="85"/>
        <v>67.681642942972275</v>
      </c>
    </row>
    <row r="176" spans="1:65" x14ac:dyDescent="0.2">
      <c r="A176" s="135">
        <v>43936</v>
      </c>
      <c r="B176" s="5">
        <v>92226</v>
      </c>
      <c r="C176" s="130">
        <v>2024</v>
      </c>
      <c r="D176" s="14">
        <v>13.04</v>
      </c>
      <c r="E176" s="130">
        <v>2752</v>
      </c>
      <c r="F176" s="186">
        <v>5.2299999999999999E-2</v>
      </c>
      <c r="G176" s="165">
        <f t="shared" si="80"/>
        <v>1390</v>
      </c>
      <c r="H176" s="208">
        <v>729</v>
      </c>
      <c r="I176" s="198">
        <v>661</v>
      </c>
      <c r="J176" s="216"/>
      <c r="K176" s="216"/>
      <c r="L176" s="216"/>
      <c r="M176" s="130">
        <v>36828</v>
      </c>
      <c r="N176" s="144">
        <v>15754</v>
      </c>
      <c r="O176" s="14">
        <v>0</v>
      </c>
      <c r="P176" s="213">
        <f t="shared" si="84"/>
        <v>5001.63</v>
      </c>
      <c r="Q176" s="180">
        <v>2089.04</v>
      </c>
      <c r="R176" s="180">
        <v>285</v>
      </c>
      <c r="S176" s="180">
        <v>29</v>
      </c>
      <c r="T176" s="159">
        <v>1547.59</v>
      </c>
      <c r="U176" s="159">
        <v>1051</v>
      </c>
      <c r="V176" s="5">
        <v>27419</v>
      </c>
      <c r="W176" s="194">
        <v>0</v>
      </c>
      <c r="X176" s="194">
        <v>0</v>
      </c>
      <c r="Y176" s="194">
        <v>929</v>
      </c>
      <c r="Z176" s="194">
        <v>136</v>
      </c>
      <c r="AA176" s="194">
        <v>407</v>
      </c>
      <c r="AB176" s="194"/>
      <c r="AC176" s="187">
        <v>1534</v>
      </c>
      <c r="AD176" s="188">
        <v>0</v>
      </c>
      <c r="AE176" s="213">
        <f t="shared" si="81"/>
        <v>3006</v>
      </c>
      <c r="AF176" s="5">
        <v>10735</v>
      </c>
      <c r="AK176" s="233"/>
      <c r="AO176" s="15">
        <v>109767</v>
      </c>
      <c r="AP176" s="125">
        <f t="shared" si="86"/>
        <v>1.1901958233036236</v>
      </c>
      <c r="AQ176" s="125">
        <v>1.631818182</v>
      </c>
      <c r="AR176" s="159">
        <v>43773</v>
      </c>
      <c r="AS176" s="159">
        <v>805</v>
      </c>
      <c r="AT176" s="159"/>
      <c r="AU176" s="101">
        <v>45583</v>
      </c>
      <c r="AV176" s="125">
        <f t="shared" si="79"/>
        <v>0.67204074772840627</v>
      </c>
      <c r="AW176" s="125">
        <f t="shared" si="66"/>
        <v>0.58521458157135731</v>
      </c>
      <c r="AX176" s="125">
        <f t="shared" si="83"/>
        <v>8.6826166157048967E-2</v>
      </c>
      <c r="AY176" s="125">
        <f t="shared" si="87"/>
        <v>2.9050257423024859</v>
      </c>
      <c r="AZ176" s="125">
        <f t="shared" si="88"/>
        <v>1.775410404874981</v>
      </c>
      <c r="BA176" s="125">
        <f t="shared" si="89"/>
        <v>4.4968817243517272</v>
      </c>
      <c r="BB176" s="125">
        <f t="shared" si="90"/>
        <v>5.2744047598230797</v>
      </c>
      <c r="BC176" s="14">
        <f t="shared" si="82"/>
        <v>267918.90410958906</v>
      </c>
      <c r="BD176" s="14">
        <f t="shared" si="64"/>
        <v>123300</v>
      </c>
      <c r="BE176" s="14">
        <f t="shared" si="65"/>
        <v>144618.90410958903</v>
      </c>
      <c r="BF176" s="14">
        <v>30</v>
      </c>
      <c r="BG176" s="14"/>
      <c r="BH176" s="179">
        <f t="shared" si="91"/>
        <v>0</v>
      </c>
      <c r="BI176" s="179">
        <f t="shared" si="92"/>
        <v>0</v>
      </c>
      <c r="BJ176" s="259">
        <f t="shared" si="46"/>
        <v>1</v>
      </c>
      <c r="BK176" s="14">
        <f t="shared" si="78"/>
        <v>216324.63</v>
      </c>
      <c r="BL176" s="14">
        <f t="shared" si="68"/>
        <v>154345</v>
      </c>
      <c r="BM176" s="262">
        <f t="shared" si="85"/>
        <v>71.34878723703352</v>
      </c>
    </row>
    <row r="177" spans="1:65" x14ac:dyDescent="0.2">
      <c r="A177" s="135">
        <v>43967</v>
      </c>
      <c r="B177" s="5">
        <v>224760</v>
      </c>
      <c r="C177" s="130">
        <v>4737</v>
      </c>
      <c r="D177" s="14">
        <v>12.4</v>
      </c>
      <c r="E177" s="130">
        <v>12429</v>
      </c>
      <c r="F177" s="186">
        <v>4.8899999999999999E-2</v>
      </c>
      <c r="G177" s="165">
        <f t="shared" si="80"/>
        <v>2468</v>
      </c>
      <c r="H177" s="208">
        <v>759</v>
      </c>
      <c r="I177" s="198">
        <v>1709</v>
      </c>
      <c r="J177" s="216"/>
      <c r="K177" s="216"/>
      <c r="L177" s="216"/>
      <c r="M177" s="130">
        <v>65675</v>
      </c>
      <c r="N177" s="144">
        <v>14549</v>
      </c>
      <c r="O177" s="14">
        <v>0</v>
      </c>
      <c r="P177" s="213">
        <f t="shared" si="84"/>
        <v>8287.65</v>
      </c>
      <c r="Q177" s="180">
        <v>2626.77</v>
      </c>
      <c r="R177" s="180">
        <v>363.05</v>
      </c>
      <c r="S177" s="180">
        <v>0.17699999999999999</v>
      </c>
      <c r="T177" s="159">
        <v>4757.74</v>
      </c>
      <c r="U177" s="159">
        <v>539.91300000000001</v>
      </c>
      <c r="V177" s="5">
        <v>155145</v>
      </c>
      <c r="W177" s="194">
        <v>0</v>
      </c>
      <c r="X177" s="194">
        <v>0</v>
      </c>
      <c r="Y177" s="194">
        <v>1410</v>
      </c>
      <c r="Z177" s="194">
        <v>373</v>
      </c>
      <c r="AA177" s="194">
        <v>2178</v>
      </c>
      <c r="AB177" s="194"/>
      <c r="AC177" s="187">
        <v>594</v>
      </c>
      <c r="AD177" s="188">
        <v>945</v>
      </c>
      <c r="AE177" s="213">
        <f t="shared" si="81"/>
        <v>5500</v>
      </c>
      <c r="AF177" s="5">
        <v>86398</v>
      </c>
      <c r="AK177" s="233"/>
      <c r="AO177" s="15">
        <v>122126</v>
      </c>
      <c r="AP177" s="125">
        <f t="shared" si="86"/>
        <v>0.5433618081509165</v>
      </c>
      <c r="AQ177" s="125">
        <v>1.5644193550000001</v>
      </c>
      <c r="AR177" s="159">
        <v>35952</v>
      </c>
      <c r="AS177" s="159">
        <v>13174</v>
      </c>
      <c r="AT177" s="159"/>
      <c r="AU177" s="101">
        <v>45583</v>
      </c>
      <c r="AV177" s="125">
        <f t="shared" si="79"/>
        <v>0.42925631785015123</v>
      </c>
      <c r="AW177" s="125">
        <f t="shared" si="66"/>
        <v>0.36791243993593165</v>
      </c>
      <c r="AX177" s="125">
        <f t="shared" si="83"/>
        <v>6.134387791421958E-2</v>
      </c>
      <c r="AY177" s="125">
        <f t="shared" si="87"/>
        <v>1.2317562477601678</v>
      </c>
      <c r="AZ177" s="125">
        <f t="shared" si="88"/>
        <v>0.9112742480868482</v>
      </c>
      <c r="BA177" s="125">
        <f t="shared" si="89"/>
        <v>0.82123175094266654</v>
      </c>
      <c r="BB177" s="125">
        <f t="shared" si="90"/>
        <v>0.96322494599616715</v>
      </c>
      <c r="BC177" s="14">
        <f t="shared" si="82"/>
        <v>276849.53424657532</v>
      </c>
      <c r="BD177" s="14">
        <f t="shared" si="64"/>
        <v>127410</v>
      </c>
      <c r="BE177" s="14">
        <f t="shared" si="65"/>
        <v>149439.53424657535</v>
      </c>
      <c r="BF177" s="14">
        <v>31</v>
      </c>
      <c r="BG177" s="14"/>
      <c r="BH177" s="179">
        <f t="shared" si="91"/>
        <v>0</v>
      </c>
      <c r="BI177" s="179">
        <f t="shared" si="92"/>
        <v>1.1779517351416035E-2</v>
      </c>
      <c r="BJ177" s="259">
        <f t="shared" si="46"/>
        <v>0.98822048264858398</v>
      </c>
      <c r="BK177" s="14">
        <f t="shared" ref="BK177:BK208" si="93">SUM(G177,M177,N177:O177,P177,AE177,AO177,AR177,AS177)</f>
        <v>267731.65000000002</v>
      </c>
      <c r="BL177" s="14">
        <f t="shared" si="68"/>
        <v>171252</v>
      </c>
      <c r="BM177" s="14">
        <f t="shared" si="85"/>
        <v>63.964047582719481</v>
      </c>
    </row>
    <row r="178" spans="1:65" ht="10.5" customHeight="1" x14ac:dyDescent="0.2">
      <c r="A178" s="135">
        <v>43999</v>
      </c>
      <c r="B178" s="5">
        <v>245586</v>
      </c>
      <c r="C178" s="130">
        <v>5278</v>
      </c>
      <c r="D178" s="14">
        <v>12.93</v>
      </c>
      <c r="E178" s="130">
        <v>10949</v>
      </c>
      <c r="F178" s="186">
        <v>4.5499999999999999E-2</v>
      </c>
      <c r="G178" s="165">
        <f t="shared" si="80"/>
        <v>1874</v>
      </c>
      <c r="H178" s="208">
        <v>165</v>
      </c>
      <c r="I178" s="198">
        <v>1709</v>
      </c>
      <c r="J178" s="216"/>
      <c r="K178" s="216"/>
      <c r="L178" s="216"/>
      <c r="M178" s="130">
        <v>80443</v>
      </c>
      <c r="N178" s="144">
        <v>19178</v>
      </c>
      <c r="O178" s="14">
        <v>0</v>
      </c>
      <c r="P178" s="213">
        <f t="shared" si="84"/>
        <v>7512.3259999999991</v>
      </c>
      <c r="Q178" s="180">
        <v>2339.5</v>
      </c>
      <c r="R178" s="180">
        <v>297.54500000000002</v>
      </c>
      <c r="S178" s="180">
        <v>0.42099999999999999</v>
      </c>
      <c r="T178" s="159">
        <v>4295.2</v>
      </c>
      <c r="U178" s="159">
        <v>579.66</v>
      </c>
      <c r="V178" s="5">
        <v>131050</v>
      </c>
      <c r="W178" s="194">
        <v>0</v>
      </c>
      <c r="X178" s="194">
        <v>0</v>
      </c>
      <c r="Y178" s="194">
        <v>1259</v>
      </c>
      <c r="Z178" s="194">
        <v>2350</v>
      </c>
      <c r="AA178" s="194">
        <v>1989</v>
      </c>
      <c r="AB178" s="194"/>
      <c r="AC178" s="187">
        <v>18</v>
      </c>
      <c r="AD178" s="188">
        <v>0</v>
      </c>
      <c r="AE178" s="213">
        <f t="shared" si="81"/>
        <v>5616</v>
      </c>
      <c r="AF178" s="5">
        <v>82923</v>
      </c>
      <c r="AK178" s="233"/>
      <c r="AO178" s="15">
        <v>143628</v>
      </c>
      <c r="AP178" s="125">
        <f t="shared" si="86"/>
        <v>0.58483789792577756</v>
      </c>
      <c r="AQ178" s="125">
        <v>1.6865517240000001</v>
      </c>
      <c r="AR178" s="159">
        <v>51957</v>
      </c>
      <c r="AS178" s="159">
        <v>11826</v>
      </c>
      <c r="AT178" s="159"/>
      <c r="AU178" s="101">
        <v>45583</v>
      </c>
      <c r="AV178" s="125">
        <f t="shared" si="79"/>
        <v>0.46673395877615176</v>
      </c>
      <c r="AW178" s="125">
        <f t="shared" si="66"/>
        <v>0.41327681545364964</v>
      </c>
      <c r="AX178" s="125">
        <f t="shared" si="83"/>
        <v>5.3457143322502121E-2</v>
      </c>
      <c r="AY178" s="125">
        <f t="shared" si="87"/>
        <v>1.0909372037070071</v>
      </c>
      <c r="AZ178" s="125">
        <f t="shared" si="88"/>
        <v>0.99811471337942714</v>
      </c>
      <c r="BA178" s="125">
        <f t="shared" si="89"/>
        <v>0.94086226631056846</v>
      </c>
      <c r="BB178" s="125">
        <f t="shared" si="90"/>
        <v>1.1035399016374592</v>
      </c>
      <c r="BC178" s="14">
        <f t="shared" si="82"/>
        <v>267918.90410958906</v>
      </c>
      <c r="BD178" s="14">
        <f t="shared" si="64"/>
        <v>123300</v>
      </c>
      <c r="BE178" s="14">
        <f t="shared" si="65"/>
        <v>144618.90410958903</v>
      </c>
      <c r="BF178" s="14">
        <v>30</v>
      </c>
      <c r="BG178" s="14"/>
      <c r="BH178" s="179">
        <f t="shared" si="91"/>
        <v>0</v>
      </c>
      <c r="BI178" s="179">
        <f t="shared" si="92"/>
        <v>0</v>
      </c>
      <c r="BJ178" s="259">
        <f t="shared" si="46"/>
        <v>1</v>
      </c>
      <c r="BK178" s="14">
        <f t="shared" si="93"/>
        <v>322034.326</v>
      </c>
      <c r="BL178" s="14">
        <f t="shared" si="68"/>
        <v>207411</v>
      </c>
      <c r="BM178" s="14">
        <f t="shared" si="85"/>
        <v>64.406488145614645</v>
      </c>
    </row>
    <row r="179" spans="1:65" ht="12" customHeight="1" x14ac:dyDescent="0.2">
      <c r="A179" s="135">
        <v>44030</v>
      </c>
      <c r="B179" s="5">
        <v>257239</v>
      </c>
      <c r="C179" s="130">
        <v>5005</v>
      </c>
      <c r="D179" s="14">
        <v>14.7</v>
      </c>
      <c r="E179" s="130">
        <v>20881</v>
      </c>
      <c r="F179" s="186">
        <v>4.7E-2</v>
      </c>
      <c r="G179" s="165">
        <f t="shared" si="80"/>
        <v>1033</v>
      </c>
      <c r="H179" s="208">
        <v>450</v>
      </c>
      <c r="I179" s="198">
        <v>583</v>
      </c>
      <c r="J179" s="216"/>
      <c r="K179" s="216"/>
      <c r="L179" s="216"/>
      <c r="M179" s="130">
        <v>61087</v>
      </c>
      <c r="N179" s="144">
        <v>60915</v>
      </c>
      <c r="O179" s="14">
        <v>0</v>
      </c>
      <c r="P179" s="213">
        <f t="shared" si="84"/>
        <v>8549.0550000000003</v>
      </c>
      <c r="Q179" s="180">
        <v>2443.7399999999998</v>
      </c>
      <c r="R179" s="180">
        <v>335.14800000000002</v>
      </c>
      <c r="S179" s="180">
        <v>0.22600000000000001</v>
      </c>
      <c r="T179" s="159">
        <v>3978.6</v>
      </c>
      <c r="U179" s="159">
        <v>1791.3409999999999</v>
      </c>
      <c r="V179" s="5">
        <v>179826</v>
      </c>
      <c r="W179" s="194">
        <v>0</v>
      </c>
      <c r="X179" s="194">
        <v>0</v>
      </c>
      <c r="Y179" s="194">
        <v>1277</v>
      </c>
      <c r="Z179" s="194">
        <v>2289</v>
      </c>
      <c r="AA179" s="194">
        <v>2517</v>
      </c>
      <c r="AB179" s="194"/>
      <c r="AC179" s="187">
        <v>1</v>
      </c>
      <c r="AD179" s="188">
        <v>0</v>
      </c>
      <c r="AE179" s="213">
        <f t="shared" si="81"/>
        <v>6084</v>
      </c>
      <c r="AF179" s="5">
        <v>113921</v>
      </c>
      <c r="AK179" s="233"/>
      <c r="AO179" s="15">
        <v>83497</v>
      </c>
      <c r="AP179" s="125">
        <f t="shared" si="86"/>
        <v>0.3245891952619937</v>
      </c>
      <c r="AQ179" s="125">
        <v>1.62</v>
      </c>
      <c r="AR179" s="159">
        <v>53351</v>
      </c>
      <c r="AS179" s="159">
        <v>17216</v>
      </c>
      <c r="AT179" s="159"/>
      <c r="AU179" s="101">
        <v>45583</v>
      </c>
      <c r="AV179" s="125">
        <f t="shared" si="79"/>
        <v>0.53517567320662884</v>
      </c>
      <c r="AW179" s="125">
        <f t="shared" si="66"/>
        <v>0.47829061689712682</v>
      </c>
      <c r="AX179" s="125">
        <f t="shared" si="83"/>
        <v>5.6885056309502025E-2</v>
      </c>
      <c r="AY179" s="125">
        <f t="shared" si="87"/>
        <v>1.0762346854348497</v>
      </c>
      <c r="AZ179" s="125">
        <f t="shared" si="88"/>
        <v>0.80287981215912052</v>
      </c>
      <c r="BA179" s="125">
        <f t="shared" si="89"/>
        <v>0.70851823429315008</v>
      </c>
      <c r="BB179" s="125">
        <f t="shared" si="90"/>
        <v>0.83102295689486139</v>
      </c>
      <c r="BC179" s="14">
        <f t="shared" si="82"/>
        <v>276849.53424657532</v>
      </c>
      <c r="BD179" s="14">
        <f t="shared" si="64"/>
        <v>127410</v>
      </c>
      <c r="BE179" s="14">
        <f t="shared" si="65"/>
        <v>149439.53424657535</v>
      </c>
      <c r="BF179" s="14">
        <v>31</v>
      </c>
      <c r="BG179" s="14"/>
      <c r="BH179" s="179">
        <f t="shared" si="91"/>
        <v>0</v>
      </c>
      <c r="BI179" s="179">
        <f t="shared" si="92"/>
        <v>0</v>
      </c>
      <c r="BJ179" s="259">
        <f t="shared" si="46"/>
        <v>1</v>
      </c>
      <c r="BK179" s="14">
        <f t="shared" si="93"/>
        <v>291732.05499999999</v>
      </c>
      <c r="BL179" s="14">
        <f t="shared" si="68"/>
        <v>154064</v>
      </c>
      <c r="BM179" s="14">
        <f t="shared" si="85"/>
        <v>52.810103435496657</v>
      </c>
    </row>
    <row r="180" spans="1:65" ht="12" customHeight="1" x14ac:dyDescent="0.2">
      <c r="A180" s="135">
        <v>44062</v>
      </c>
      <c r="B180" s="5">
        <v>262761</v>
      </c>
      <c r="C180" s="130">
        <v>4642</v>
      </c>
      <c r="D180" s="14">
        <v>14.47</v>
      </c>
      <c r="E180" s="130">
        <v>17388</v>
      </c>
      <c r="F180" s="186">
        <v>4.6600000000000003E-2</v>
      </c>
      <c r="G180" s="165">
        <f t="shared" si="80"/>
        <v>4460</v>
      </c>
      <c r="H180" s="208">
        <v>1735</v>
      </c>
      <c r="I180" s="198">
        <v>2725</v>
      </c>
      <c r="J180" s="216"/>
      <c r="K180" s="216"/>
      <c r="L180" s="216"/>
      <c r="M180" s="130">
        <v>87375</v>
      </c>
      <c r="N180" s="144">
        <v>57234</v>
      </c>
      <c r="O180" s="14">
        <v>0</v>
      </c>
      <c r="P180" s="213">
        <f t="shared" si="84"/>
        <v>9946</v>
      </c>
      <c r="Q180" s="180">
        <v>582</v>
      </c>
      <c r="R180" s="180">
        <v>340</v>
      </c>
      <c r="S180" s="180">
        <v>119</v>
      </c>
      <c r="T180" s="159">
        <v>4062</v>
      </c>
      <c r="U180" s="159">
        <v>4843</v>
      </c>
      <c r="V180" s="5">
        <v>228475</v>
      </c>
      <c r="W180" s="194">
        <v>0</v>
      </c>
      <c r="X180" s="194">
        <v>0</v>
      </c>
      <c r="Y180" s="194">
        <v>53</v>
      </c>
      <c r="Z180" s="194">
        <v>2293</v>
      </c>
      <c r="AA180" s="194">
        <v>2425</v>
      </c>
      <c r="AB180" s="194"/>
      <c r="AC180" s="187">
        <v>1</v>
      </c>
      <c r="AD180" s="188">
        <v>0</v>
      </c>
      <c r="AE180" s="213">
        <f t="shared" si="81"/>
        <v>4772</v>
      </c>
      <c r="AF180" s="5">
        <v>124508</v>
      </c>
      <c r="AK180" s="233"/>
      <c r="AO180" s="15">
        <v>113163</v>
      </c>
      <c r="AP180" s="125">
        <f t="shared" si="86"/>
        <v>0.4306689348875975</v>
      </c>
      <c r="AQ180" s="125">
        <v>1.64</v>
      </c>
      <c r="AR180" s="159">
        <v>49591</v>
      </c>
      <c r="AS180" s="159">
        <v>15381</v>
      </c>
      <c r="AT180" s="159"/>
      <c r="AU180" s="101">
        <v>45583</v>
      </c>
      <c r="AV180" s="125">
        <f t="shared" si="79"/>
        <v>0.62333070737285978</v>
      </c>
      <c r="AW180" s="125">
        <f t="shared" si="66"/>
        <v>0.56731782874931969</v>
      </c>
      <c r="AX180" s="125">
        <f t="shared" si="83"/>
        <v>5.6012878623540097E-2</v>
      </c>
      <c r="AY180" s="125">
        <f t="shared" si="87"/>
        <v>1.053617295742425</v>
      </c>
      <c r="AZ180" s="125">
        <f t="shared" si="88"/>
        <v>0.99798676363691718</v>
      </c>
      <c r="BA180" s="125">
        <f t="shared" si="89"/>
        <v>0.55765401028558925</v>
      </c>
      <c r="BB180" s="125">
        <f t="shared" si="90"/>
        <v>0.65407389975522634</v>
      </c>
      <c r="BC180" s="14">
        <f t="shared" si="82"/>
        <v>276849.53424657532</v>
      </c>
      <c r="BD180" s="14">
        <f t="shared" si="64"/>
        <v>127410</v>
      </c>
      <c r="BE180" s="14">
        <f t="shared" si="65"/>
        <v>149439.53424657535</v>
      </c>
      <c r="BF180" s="14">
        <v>31</v>
      </c>
      <c r="BG180" s="14"/>
      <c r="BH180" s="179">
        <f t="shared" si="91"/>
        <v>0</v>
      </c>
      <c r="BI180" s="179">
        <f t="shared" si="92"/>
        <v>0</v>
      </c>
      <c r="BJ180" s="259">
        <f t="shared" si="46"/>
        <v>1</v>
      </c>
      <c r="BK180" s="14">
        <f t="shared" si="93"/>
        <v>341922</v>
      </c>
      <c r="BL180" s="14">
        <f t="shared" si="68"/>
        <v>178135</v>
      </c>
      <c r="BM180" s="14">
        <f t="shared" si="85"/>
        <v>52.098139341721215</v>
      </c>
    </row>
    <row r="181" spans="1:65" ht="17.25" customHeight="1" x14ac:dyDescent="0.2">
      <c r="A181" s="135">
        <v>44094</v>
      </c>
      <c r="B181" s="5">
        <v>282478</v>
      </c>
      <c r="C181" s="130">
        <v>5039</v>
      </c>
      <c r="D181" s="14">
        <v>14.87</v>
      </c>
      <c r="E181" s="130">
        <v>32915</v>
      </c>
      <c r="F181" s="186">
        <v>4.2799999999999998E-2</v>
      </c>
      <c r="G181" s="165">
        <f t="shared" si="80"/>
        <v>3780</v>
      </c>
      <c r="H181" s="208">
        <v>1079</v>
      </c>
      <c r="I181" s="198">
        <v>2701</v>
      </c>
      <c r="J181" s="216"/>
      <c r="K181" s="216"/>
      <c r="L181" s="216"/>
      <c r="M181" s="130">
        <v>84781</v>
      </c>
      <c r="N181" s="144">
        <v>76251</v>
      </c>
      <c r="O181" s="14">
        <v>0</v>
      </c>
      <c r="P181" s="213">
        <f t="shared" si="84"/>
        <v>9850.0910000000003</v>
      </c>
      <c r="Q181" s="180">
        <v>4006.81</v>
      </c>
      <c r="R181" s="180">
        <v>351.26299999999998</v>
      </c>
      <c r="S181" s="180">
        <v>725.51599999999996</v>
      </c>
      <c r="T181" s="159">
        <v>912.47</v>
      </c>
      <c r="U181" s="159">
        <v>3854.0320000000002</v>
      </c>
      <c r="V181" s="5">
        <v>225633</v>
      </c>
      <c r="W181" s="194">
        <v>0</v>
      </c>
      <c r="X181" s="194">
        <v>0</v>
      </c>
      <c r="Y181" s="194">
        <v>1069</v>
      </c>
      <c r="Z181" s="194">
        <v>2031</v>
      </c>
      <c r="AA181" s="194">
        <v>2171</v>
      </c>
      <c r="AB181" s="194"/>
      <c r="AC181" s="187">
        <v>0</v>
      </c>
      <c r="AD181" s="188">
        <v>0</v>
      </c>
      <c r="AE181" s="213">
        <f t="shared" si="81"/>
        <v>5271</v>
      </c>
      <c r="AF181" s="5">
        <v>118928</v>
      </c>
      <c r="AK181" s="233"/>
      <c r="AO181" s="15">
        <v>189790</v>
      </c>
      <c r="AP181" s="125">
        <f t="shared" si="86"/>
        <v>0.67187533188425297</v>
      </c>
      <c r="AQ181" s="125">
        <v>1.6515</v>
      </c>
      <c r="AR181" s="159">
        <v>58253</v>
      </c>
      <c r="AS181" s="159">
        <v>14921</v>
      </c>
      <c r="AT181" s="159"/>
      <c r="AU181" s="101">
        <v>45583</v>
      </c>
      <c r="AV181" s="125">
        <f t="shared" si="79"/>
        <v>0.63698090116752459</v>
      </c>
      <c r="AW181" s="125">
        <f t="shared" si="66"/>
        <v>0.5834507466068154</v>
      </c>
      <c r="AX181" s="125">
        <f t="shared" si="83"/>
        <v>5.3530154560709198E-2</v>
      </c>
      <c r="AY181" s="125">
        <f t="shared" si="87"/>
        <v>0.94845936359500227</v>
      </c>
      <c r="AZ181" s="125">
        <f t="shared" si="88"/>
        <v>1.2553260784910683</v>
      </c>
      <c r="BA181" s="125">
        <f t="shared" si="89"/>
        <v>0.54646261849995348</v>
      </c>
      <c r="BB181" s="125">
        <f t="shared" si="90"/>
        <v>0.64094748600421492</v>
      </c>
      <c r="BC181" s="14">
        <f t="shared" si="82"/>
        <v>267918.90410958906</v>
      </c>
      <c r="BD181" s="14">
        <f t="shared" si="64"/>
        <v>123300</v>
      </c>
      <c r="BE181" s="14">
        <f t="shared" si="65"/>
        <v>144618.90410958903</v>
      </c>
      <c r="BF181" s="14">
        <v>30</v>
      </c>
      <c r="BG181" s="14"/>
      <c r="BH181" s="179">
        <f t="shared" si="91"/>
        <v>0</v>
      </c>
      <c r="BI181" s="179">
        <f t="shared" si="92"/>
        <v>0</v>
      </c>
      <c r="BJ181" s="259">
        <f t="shared" si="46"/>
        <v>1</v>
      </c>
      <c r="BK181" s="14">
        <f t="shared" si="93"/>
        <v>442897.09100000001</v>
      </c>
      <c r="BL181" s="14">
        <f t="shared" si="68"/>
        <v>262964</v>
      </c>
      <c r="BM181" s="14">
        <f t="shared" si="85"/>
        <v>59.373611916543382</v>
      </c>
    </row>
    <row r="182" spans="1:65" ht="21" customHeight="1" x14ac:dyDescent="0.2">
      <c r="A182" s="135">
        <v>44106</v>
      </c>
      <c r="B182" s="5">
        <v>284755</v>
      </c>
      <c r="C182" s="130">
        <v>4918</v>
      </c>
      <c r="D182" s="14">
        <v>15.02</v>
      </c>
      <c r="E182" s="130">
        <v>25733</v>
      </c>
      <c r="F182" s="186">
        <v>5.74E-2</v>
      </c>
      <c r="G182" s="165">
        <f t="shared" si="80"/>
        <v>4049</v>
      </c>
      <c r="H182" s="208">
        <v>1341</v>
      </c>
      <c r="I182" s="198">
        <v>2708</v>
      </c>
      <c r="J182" s="216"/>
      <c r="K182" s="216"/>
      <c r="L182" s="216"/>
      <c r="M182" s="130">
        <v>74439</v>
      </c>
      <c r="N182" s="144">
        <v>43821</v>
      </c>
      <c r="O182" s="14">
        <v>0</v>
      </c>
      <c r="P182" s="213">
        <f t="shared" si="84"/>
        <v>11984.739000000001</v>
      </c>
      <c r="Q182" s="180">
        <v>6139.72</v>
      </c>
      <c r="R182" s="180">
        <v>308.76100000000002</v>
      </c>
      <c r="S182" s="180">
        <v>571.95000000000005</v>
      </c>
      <c r="T182" s="159">
        <v>2555.35</v>
      </c>
      <c r="U182" s="159">
        <v>2408.9580000000001</v>
      </c>
      <c r="V182" s="5">
        <v>233184</v>
      </c>
      <c r="W182" s="194">
        <v>0</v>
      </c>
      <c r="X182" s="194">
        <v>0</v>
      </c>
      <c r="Y182" s="194">
        <v>1169</v>
      </c>
      <c r="Z182" s="194">
        <v>1847</v>
      </c>
      <c r="AA182" s="194">
        <v>2900</v>
      </c>
      <c r="AB182" s="194"/>
      <c r="AC182" s="187">
        <v>0</v>
      </c>
      <c r="AD182" s="188">
        <v>0</v>
      </c>
      <c r="AE182" s="213">
        <f t="shared" si="81"/>
        <v>5916</v>
      </c>
      <c r="AF182" s="5">
        <v>125693</v>
      </c>
      <c r="AK182" s="233"/>
      <c r="AO182" s="15">
        <v>351303</v>
      </c>
      <c r="AP182" s="125">
        <f t="shared" si="86"/>
        <v>1.2337026566697686</v>
      </c>
      <c r="AQ182" s="125">
        <v>1.666451613</v>
      </c>
      <c r="AR182" s="159">
        <v>65397</v>
      </c>
      <c r="AS182" s="159">
        <v>21027</v>
      </c>
      <c r="AT182" s="159"/>
      <c r="AU182" s="101">
        <v>45583</v>
      </c>
      <c r="AV182" s="125">
        <f t="shared" si="79"/>
        <v>0.49238727678179489</v>
      </c>
      <c r="AW182" s="125">
        <f t="shared" si="66"/>
        <v>0.42952362557286089</v>
      </c>
      <c r="AX182" s="125">
        <f t="shared" si="83"/>
        <v>6.2863651208934002E-2</v>
      </c>
      <c r="AY182" s="125">
        <f t="shared" si="87"/>
        <v>0.97223765779907401</v>
      </c>
      <c r="AZ182" s="125">
        <f t="shared" si="88"/>
        <v>1.6632262822426296</v>
      </c>
      <c r="BA182" s="125">
        <f t="shared" si="89"/>
        <v>0.54639254837381634</v>
      </c>
      <c r="BB182" s="125">
        <f t="shared" si="90"/>
        <v>0.64086530056339774</v>
      </c>
      <c r="BC182" s="14">
        <f t="shared" si="82"/>
        <v>276849.53424657532</v>
      </c>
      <c r="BD182" s="14">
        <f t="shared" si="64"/>
        <v>127410</v>
      </c>
      <c r="BE182" s="14">
        <f t="shared" si="65"/>
        <v>149439.53424657535</v>
      </c>
      <c r="BF182" s="14">
        <v>31</v>
      </c>
      <c r="BG182" s="14"/>
      <c r="BH182" s="179">
        <f t="shared" si="91"/>
        <v>0</v>
      </c>
      <c r="BI182" s="179">
        <f t="shared" si="92"/>
        <v>0</v>
      </c>
      <c r="BJ182" s="259">
        <f t="shared" si="46"/>
        <v>1</v>
      </c>
      <c r="BK182" s="14">
        <f t="shared" si="93"/>
        <v>577936.73900000006</v>
      </c>
      <c r="BL182" s="14">
        <f t="shared" si="68"/>
        <v>437727</v>
      </c>
      <c r="BM182" s="14">
        <f t="shared" si="85"/>
        <v>75.739604434456965</v>
      </c>
    </row>
    <row r="183" spans="1:65" ht="14.25" customHeight="1" x14ac:dyDescent="0.2">
      <c r="A183" s="135">
        <v>44138</v>
      </c>
      <c r="B183" s="5">
        <v>259277</v>
      </c>
      <c r="C183" s="130">
        <v>5152</v>
      </c>
      <c r="D183" s="14">
        <v>14.17</v>
      </c>
      <c r="E183" s="130">
        <v>17616</v>
      </c>
      <c r="F183" s="186">
        <v>5.3600000000000002E-2</v>
      </c>
      <c r="G183" s="165">
        <f t="shared" si="80"/>
        <v>4498</v>
      </c>
      <c r="H183" s="208">
        <v>2881</v>
      </c>
      <c r="I183" s="198">
        <v>1617</v>
      </c>
      <c r="J183" s="216"/>
      <c r="K183" s="216"/>
      <c r="L183" s="216"/>
      <c r="M183" s="130">
        <v>58089</v>
      </c>
      <c r="N183" s="144">
        <v>63813</v>
      </c>
      <c r="O183" s="14">
        <v>0</v>
      </c>
      <c r="P183" s="213">
        <f t="shared" si="84"/>
        <v>14123.463</v>
      </c>
      <c r="Q183" s="180">
        <v>7724.28</v>
      </c>
      <c r="R183" s="180">
        <v>332.166</v>
      </c>
      <c r="S183" s="180">
        <v>566.27599999999995</v>
      </c>
      <c r="T183" s="159">
        <v>4651.09</v>
      </c>
      <c r="U183" s="159">
        <v>849.65099999999995</v>
      </c>
      <c r="V183" s="5">
        <v>254069</v>
      </c>
      <c r="W183" s="194">
        <v>0</v>
      </c>
      <c r="X183" s="194">
        <v>0</v>
      </c>
      <c r="Y183" s="194">
        <v>1130</v>
      </c>
      <c r="Z183" s="194">
        <v>1721</v>
      </c>
      <c r="AA183" s="194">
        <v>2466</v>
      </c>
      <c r="AB183" s="194"/>
      <c r="AC183" s="187">
        <v>0</v>
      </c>
      <c r="AD183" s="188">
        <v>0</v>
      </c>
      <c r="AE183" s="213">
        <f t="shared" si="81"/>
        <v>5317</v>
      </c>
      <c r="AF183" s="5">
        <v>158782</v>
      </c>
      <c r="AK183" s="233"/>
      <c r="AO183" s="15">
        <v>527495</v>
      </c>
      <c r="AP183" s="125">
        <f t="shared" si="86"/>
        <v>2.0344843545705942</v>
      </c>
      <c r="AQ183" s="125">
        <v>1.5894999999999999</v>
      </c>
      <c r="AR183" s="159">
        <v>65397</v>
      </c>
      <c r="AS183" s="159">
        <v>7574</v>
      </c>
      <c r="AT183" s="159"/>
      <c r="AU183" s="101">
        <v>45583</v>
      </c>
      <c r="AV183" s="125">
        <f t="shared" si="79"/>
        <v>0.56248900982347061</v>
      </c>
      <c r="AW183" s="125">
        <f t="shared" si="66"/>
        <v>0.48750949756438094</v>
      </c>
      <c r="AX183" s="125">
        <f t="shared" si="83"/>
        <v>7.4979512259089665E-2</v>
      </c>
      <c r="AY183" s="125">
        <f t="shared" si="87"/>
        <v>1.0333307779308964</v>
      </c>
      <c r="AZ183" s="125">
        <f t="shared" si="88"/>
        <v>2.5219938521349752</v>
      </c>
      <c r="BA183" s="125">
        <f t="shared" si="89"/>
        <v>0.48530123706552158</v>
      </c>
      <c r="BB183" s="125">
        <f t="shared" si="90"/>
        <v>0.5692111359889992</v>
      </c>
      <c r="BC183" s="14">
        <f t="shared" si="82"/>
        <v>267918.90410958906</v>
      </c>
      <c r="BD183" s="14">
        <f t="shared" si="64"/>
        <v>123300</v>
      </c>
      <c r="BE183" s="14">
        <f t="shared" si="65"/>
        <v>144618.90410958903</v>
      </c>
      <c r="BF183" s="14">
        <v>30</v>
      </c>
      <c r="BG183" s="14"/>
      <c r="BH183" s="179">
        <f t="shared" si="91"/>
        <v>0</v>
      </c>
      <c r="BI183" s="179">
        <f t="shared" si="92"/>
        <v>0</v>
      </c>
      <c r="BJ183" s="259">
        <f t="shared" si="46"/>
        <v>1</v>
      </c>
      <c r="BK183" s="14">
        <f t="shared" si="93"/>
        <v>746306.46299999999</v>
      </c>
      <c r="BL183" s="14">
        <f t="shared" si="68"/>
        <v>600466</v>
      </c>
      <c r="BM183" s="14">
        <f t="shared" si="85"/>
        <v>80.458367945287378</v>
      </c>
    </row>
    <row r="184" spans="1:65" ht="12" customHeight="1" x14ac:dyDescent="0.2">
      <c r="A184" s="135">
        <v>44169</v>
      </c>
      <c r="B184" s="5">
        <v>284989</v>
      </c>
      <c r="C184" s="130">
        <v>5081</v>
      </c>
      <c r="D184" s="14">
        <v>15.12</v>
      </c>
      <c r="E184" s="130">
        <v>15363</v>
      </c>
      <c r="F184" s="186">
        <v>5.3499999999999999E-2</v>
      </c>
      <c r="G184" s="165">
        <f t="shared" si="80"/>
        <v>3856</v>
      </c>
      <c r="H184" s="208">
        <v>1595</v>
      </c>
      <c r="I184" s="198">
        <v>2261</v>
      </c>
      <c r="J184" s="216"/>
      <c r="K184" s="216"/>
      <c r="L184" s="216"/>
      <c r="M184" s="130">
        <v>76761</v>
      </c>
      <c r="N184" s="144">
        <v>67027</v>
      </c>
      <c r="O184" s="14">
        <v>0</v>
      </c>
      <c r="P184" s="213">
        <f t="shared" si="84"/>
        <v>13122.457</v>
      </c>
      <c r="Q184" s="180">
        <v>5613</v>
      </c>
      <c r="R184" s="180">
        <v>328.37799999999999</v>
      </c>
      <c r="S184" s="180">
        <v>297.24200000000002</v>
      </c>
      <c r="T184" s="159">
        <v>4918.6499999999996</v>
      </c>
      <c r="U184" s="159">
        <v>1965.1869999999999</v>
      </c>
      <c r="V184" s="5">
        <v>195217</v>
      </c>
      <c r="W184" s="194">
        <v>0</v>
      </c>
      <c r="X184" s="194">
        <v>0</v>
      </c>
      <c r="Y184" s="194">
        <v>1142</v>
      </c>
      <c r="Z184" s="194">
        <v>228</v>
      </c>
      <c r="AA184" s="194">
        <v>1755</v>
      </c>
      <c r="AB184" s="194"/>
      <c r="AC184" s="187">
        <v>0</v>
      </c>
      <c r="AD184" s="188">
        <v>0</v>
      </c>
      <c r="AE184" s="213">
        <f t="shared" si="81"/>
        <v>3125</v>
      </c>
      <c r="AF184" s="5">
        <v>109995</v>
      </c>
      <c r="AK184" s="233"/>
      <c r="AO184" s="15">
        <v>52978</v>
      </c>
      <c r="AP184" s="125">
        <f t="shared" si="86"/>
        <v>0.18589489418889851</v>
      </c>
      <c r="AQ184" s="125">
        <v>1.5819354839999999</v>
      </c>
      <c r="AR184" s="159">
        <v>58258</v>
      </c>
      <c r="AS184" s="159">
        <v>15855</v>
      </c>
      <c r="AT184" s="159"/>
      <c r="AU184" s="101">
        <v>45583</v>
      </c>
      <c r="AV184" s="125">
        <f t="shared" si="79"/>
        <v>0.57507993992750595</v>
      </c>
      <c r="AW184" s="125">
        <f t="shared" si="66"/>
        <v>0.5180691184572036</v>
      </c>
      <c r="AX184" s="125">
        <f t="shared" si="83"/>
        <v>5.7010821470302342E-2</v>
      </c>
      <c r="AY184" s="125">
        <f t="shared" si="87"/>
        <v>0.97143936870045977</v>
      </c>
      <c r="AZ184" s="125">
        <f t="shared" si="88"/>
        <v>0.70396401264610209</v>
      </c>
      <c r="BA184" s="125">
        <f t="shared" si="89"/>
        <v>0.65265832381401212</v>
      </c>
      <c r="BB184" s="125">
        <f t="shared" si="90"/>
        <v>0.76550471652865959</v>
      </c>
      <c r="BC184" s="14">
        <f t="shared" si="82"/>
        <v>276849.53424657532</v>
      </c>
      <c r="BD184" s="14">
        <f t="shared" si="64"/>
        <v>127410</v>
      </c>
      <c r="BE184" s="14">
        <f t="shared" si="65"/>
        <v>149439.53424657535</v>
      </c>
      <c r="BF184" s="14">
        <v>31</v>
      </c>
      <c r="BG184" s="14"/>
      <c r="BH184" s="179">
        <f t="shared" si="91"/>
        <v>0</v>
      </c>
      <c r="BI184" s="179">
        <f t="shared" si="92"/>
        <v>0</v>
      </c>
      <c r="BJ184" s="259">
        <f t="shared" si="46"/>
        <v>1</v>
      </c>
      <c r="BK184" s="14">
        <f t="shared" si="93"/>
        <v>290982.45699999999</v>
      </c>
      <c r="BL184" s="14">
        <f t="shared" si="68"/>
        <v>127091</v>
      </c>
      <c r="BM184" s="14">
        <f t="shared" si="85"/>
        <v>43.676516210047673</v>
      </c>
    </row>
    <row r="185" spans="1:65" x14ac:dyDescent="0.2">
      <c r="A185" s="135">
        <v>44206</v>
      </c>
      <c r="B185" s="5">
        <v>299135</v>
      </c>
      <c r="C185" s="130">
        <v>5800</v>
      </c>
      <c r="D185" s="14">
        <v>14.3</v>
      </c>
      <c r="E185" s="130">
        <v>28507</v>
      </c>
      <c r="F185" s="186">
        <v>5.3100000000000001E-2</v>
      </c>
      <c r="G185" s="165">
        <f t="shared" si="80"/>
        <v>2034</v>
      </c>
      <c r="H185" s="208">
        <v>414</v>
      </c>
      <c r="I185" s="198">
        <v>1620</v>
      </c>
      <c r="J185" s="216"/>
      <c r="K185" s="216"/>
      <c r="L185" s="216"/>
      <c r="M185" s="130">
        <v>40624</v>
      </c>
      <c r="N185" s="144">
        <v>36335</v>
      </c>
      <c r="O185" s="14">
        <v>0</v>
      </c>
      <c r="P185" s="213">
        <f t="shared" si="84"/>
        <v>10664.413</v>
      </c>
      <c r="Q185" s="180">
        <v>4735.1499999999996</v>
      </c>
      <c r="R185" s="180">
        <v>290.39999999999998</v>
      </c>
      <c r="S185" s="180">
        <v>93.96</v>
      </c>
      <c r="T185" s="159">
        <v>4331.6499999999996</v>
      </c>
      <c r="U185" s="159">
        <v>1213.2529999999999</v>
      </c>
      <c r="V185" s="5">
        <v>201814</v>
      </c>
      <c r="W185" s="194">
        <v>0</v>
      </c>
      <c r="X185" s="194">
        <v>0</v>
      </c>
      <c r="Y185" s="194">
        <v>1083</v>
      </c>
      <c r="Z185" s="194">
        <v>185</v>
      </c>
      <c r="AA185" s="194">
        <v>2580</v>
      </c>
      <c r="AB185" s="194"/>
      <c r="AC185" s="187">
        <v>0</v>
      </c>
      <c r="AD185" s="188">
        <v>0</v>
      </c>
      <c r="AE185" s="213">
        <f t="shared" si="81"/>
        <v>3848</v>
      </c>
      <c r="AF185" s="5">
        <v>125258</v>
      </c>
      <c r="AK185" s="233"/>
      <c r="AO185" s="15">
        <v>52978</v>
      </c>
      <c r="AP185" s="125">
        <f t="shared" si="86"/>
        <v>0.17710398315141992</v>
      </c>
      <c r="AQ185" s="125">
        <v>1.5819354839999999</v>
      </c>
      <c r="AR185" s="159">
        <v>61068</v>
      </c>
      <c r="AS185" s="159">
        <v>18960</v>
      </c>
      <c r="AT185" s="159"/>
      <c r="AU185" s="101">
        <v>45583</v>
      </c>
      <c r="AV185" s="125">
        <f t="shared" si="79"/>
        <v>0.31258599963227307</v>
      </c>
      <c r="AW185" s="125">
        <f t="shared" si="66"/>
        <v>0.26407140588697409</v>
      </c>
      <c r="AX185" s="125">
        <f t="shared" si="83"/>
        <v>4.8514593745298984E-2</v>
      </c>
      <c r="AY185" s="125">
        <f t="shared" si="87"/>
        <v>0.92550030670625405</v>
      </c>
      <c r="AZ185" s="125">
        <f t="shared" si="88"/>
        <v>0.44117538903839404</v>
      </c>
      <c r="BA185" s="125">
        <f t="shared" si="89"/>
        <v>0.63132389229686736</v>
      </c>
      <c r="BB185" s="125">
        <f t="shared" si="90"/>
        <v>0.74048150399167223</v>
      </c>
      <c r="BC185" s="14">
        <f t="shared" si="82"/>
        <v>276849.53424657532</v>
      </c>
      <c r="BD185" s="14">
        <f t="shared" si="64"/>
        <v>127410</v>
      </c>
      <c r="BE185" s="14">
        <f t="shared" si="65"/>
        <v>149439.53424657535</v>
      </c>
      <c r="BF185" s="14">
        <v>31</v>
      </c>
      <c r="BG185" s="14"/>
      <c r="BH185" s="179">
        <f t="shared" si="91"/>
        <v>0</v>
      </c>
      <c r="BI185" s="179">
        <f t="shared" si="92"/>
        <v>0</v>
      </c>
      <c r="BJ185" s="259">
        <f t="shared" si="46"/>
        <v>1</v>
      </c>
      <c r="BK185" s="14">
        <f t="shared" si="93"/>
        <v>226511.413</v>
      </c>
      <c r="BL185" s="14">
        <f t="shared" si="68"/>
        <v>133006</v>
      </c>
      <c r="BM185" s="14">
        <f t="shared" si="85"/>
        <v>58.719337025194399</v>
      </c>
    </row>
    <row r="186" spans="1:65" x14ac:dyDescent="0.2">
      <c r="A186" s="135">
        <v>44238</v>
      </c>
      <c r="B186" s="5">
        <v>225655</v>
      </c>
      <c r="C186" s="130">
        <v>4054</v>
      </c>
      <c r="D186" s="14">
        <v>11.42</v>
      </c>
      <c r="E186" s="130">
        <v>12086</v>
      </c>
      <c r="F186" s="186">
        <v>5.3499999999999999E-2</v>
      </c>
      <c r="G186" s="165">
        <f t="shared" si="80"/>
        <v>1925</v>
      </c>
      <c r="H186" s="208">
        <v>527</v>
      </c>
      <c r="I186" s="198">
        <v>1398</v>
      </c>
      <c r="J186" s="216"/>
      <c r="K186" s="216"/>
      <c r="L186" s="216"/>
      <c r="M186" s="130">
        <v>52280</v>
      </c>
      <c r="N186" s="144">
        <v>28143</v>
      </c>
      <c r="O186" s="14">
        <v>0</v>
      </c>
      <c r="P186" s="213">
        <f t="shared" si="84"/>
        <v>4710.5959999999995</v>
      </c>
      <c r="Q186" s="180">
        <v>3837.86</v>
      </c>
      <c r="R186" s="180">
        <v>404.42200000000003</v>
      </c>
      <c r="S186" s="180">
        <v>354.21800000000002</v>
      </c>
      <c r="T186" s="159">
        <v>0</v>
      </c>
      <c r="U186" s="159">
        <v>114.096</v>
      </c>
      <c r="V186" s="5">
        <v>205365</v>
      </c>
      <c r="W186" s="194">
        <v>0</v>
      </c>
      <c r="X186" s="194">
        <v>0</v>
      </c>
      <c r="Y186" s="194">
        <v>175</v>
      </c>
      <c r="Z186" s="194">
        <v>252.9</v>
      </c>
      <c r="AA186" s="194">
        <v>2580</v>
      </c>
      <c r="AB186" s="194"/>
      <c r="AC186" s="187">
        <v>0</v>
      </c>
      <c r="AD186" s="188">
        <v>0</v>
      </c>
      <c r="AE186" s="213">
        <f t="shared" si="81"/>
        <v>3007.9</v>
      </c>
      <c r="AF186" s="5">
        <v>121671</v>
      </c>
      <c r="AK186" s="233"/>
      <c r="AO186" s="15">
        <v>84706</v>
      </c>
      <c r="AP186" s="125">
        <f t="shared" si="86"/>
        <v>0.37537834304579998</v>
      </c>
      <c r="AQ186" s="125">
        <v>1.5049999999999999</v>
      </c>
      <c r="AR186" s="159">
        <v>60786</v>
      </c>
      <c r="AS186" s="159">
        <v>23009</v>
      </c>
      <c r="AT186" s="159"/>
      <c r="AU186" s="101">
        <v>45583</v>
      </c>
      <c r="AV186" s="125">
        <f t="shared" si="79"/>
        <v>0.39913361547495069</v>
      </c>
      <c r="AW186" s="125">
        <f t="shared" si="66"/>
        <v>0.36492876293456827</v>
      </c>
      <c r="AX186" s="125">
        <f t="shared" si="83"/>
        <v>3.4204852540382413E-2</v>
      </c>
      <c r="AY186" s="125">
        <f t="shared" si="87"/>
        <v>1.1081413832426334</v>
      </c>
      <c r="AZ186" s="125">
        <f t="shared" si="88"/>
        <v>0.74030710598036831</v>
      </c>
      <c r="BA186" s="125">
        <f t="shared" si="89"/>
        <v>0.56036812504565048</v>
      </c>
      <c r="BB186" s="125">
        <f t="shared" si="90"/>
        <v>0.65725729231181773</v>
      </c>
      <c r="BC186" s="14">
        <f t="shared" si="82"/>
        <v>250057.64383561644</v>
      </c>
      <c r="BD186" s="14">
        <f t="shared" si="64"/>
        <v>115080</v>
      </c>
      <c r="BE186" s="14">
        <f t="shared" si="65"/>
        <v>134977.64383561644</v>
      </c>
      <c r="BF186" s="14">
        <v>28</v>
      </c>
      <c r="BG186" s="14"/>
      <c r="BH186" s="179">
        <f t="shared" si="91"/>
        <v>0</v>
      </c>
      <c r="BI186" s="179">
        <f t="shared" si="92"/>
        <v>0</v>
      </c>
      <c r="BJ186" s="259">
        <f t="shared" si="46"/>
        <v>1</v>
      </c>
      <c r="BK186" s="14">
        <f t="shared" si="93"/>
        <v>258567.49599999998</v>
      </c>
      <c r="BL186" s="14">
        <f t="shared" si="68"/>
        <v>168501</v>
      </c>
      <c r="BM186" s="14">
        <f t="shared" si="85"/>
        <v>65.167123713028502</v>
      </c>
    </row>
    <row r="187" spans="1:65" x14ac:dyDescent="0.2">
      <c r="A187" s="135">
        <v>44267</v>
      </c>
      <c r="B187" s="5">
        <v>272778</v>
      </c>
      <c r="C187" s="130">
        <v>4550</v>
      </c>
      <c r="D187" s="14">
        <v>12.14</v>
      </c>
      <c r="E187" s="130">
        <v>19785</v>
      </c>
      <c r="F187" s="186">
        <v>5.0700000000000002E-2</v>
      </c>
      <c r="G187" s="165">
        <f t="shared" si="80"/>
        <v>3544</v>
      </c>
      <c r="H187" s="208">
        <v>638</v>
      </c>
      <c r="I187" s="198">
        <v>2906</v>
      </c>
      <c r="J187" s="216"/>
      <c r="K187" s="216"/>
      <c r="L187" s="216"/>
      <c r="M187" s="130">
        <v>64540</v>
      </c>
      <c r="N187" s="144">
        <v>49687</v>
      </c>
      <c r="O187" s="14">
        <v>0</v>
      </c>
      <c r="P187" s="213">
        <f t="shared" ref="P187:P211" si="94">Q187+R187+S187+T187+U187</f>
        <v>11211.331</v>
      </c>
      <c r="Q187" s="180">
        <v>4949.75</v>
      </c>
      <c r="R187" s="180">
        <v>400.62</v>
      </c>
      <c r="S187" s="180">
        <v>383.34100000000001</v>
      </c>
      <c r="T187" s="159">
        <v>3431.62</v>
      </c>
      <c r="U187" s="159">
        <v>2046</v>
      </c>
      <c r="V187" s="5">
        <v>168134</v>
      </c>
      <c r="W187" s="194">
        <v>0</v>
      </c>
      <c r="X187" s="194">
        <v>0</v>
      </c>
      <c r="Y187" s="194">
        <v>336</v>
      </c>
      <c r="Z187" s="194">
        <v>263</v>
      </c>
      <c r="AA187" s="194">
        <v>5205</v>
      </c>
      <c r="AB187" s="194"/>
      <c r="AC187" s="187">
        <v>0</v>
      </c>
      <c r="AD187" s="188">
        <v>0</v>
      </c>
      <c r="AE187" s="213">
        <f t="shared" si="81"/>
        <v>5804</v>
      </c>
      <c r="AF187" s="5">
        <v>120654</v>
      </c>
      <c r="AK187" s="233"/>
      <c r="AO187" s="15">
        <v>86210</v>
      </c>
      <c r="AP187" s="125">
        <f t="shared" si="86"/>
        <v>0.31604454904721058</v>
      </c>
      <c r="AQ187" s="125">
        <v>1.570483871</v>
      </c>
      <c r="AR187" s="159">
        <v>64978</v>
      </c>
      <c r="AS187" s="159">
        <v>24166</v>
      </c>
      <c r="AT187" s="159"/>
      <c r="AU187" s="101">
        <v>45583</v>
      </c>
      <c r="AV187" s="125">
        <f t="shared" si="79"/>
        <v>0.49412463981699406</v>
      </c>
      <c r="AW187" s="125">
        <f t="shared" si="66"/>
        <v>0.43174669511470865</v>
      </c>
      <c r="AX187" s="125">
        <f t="shared" ref="AX187:AX211" si="95">AV187-AW187</f>
        <v>6.2377944702285415E-2</v>
      </c>
      <c r="AY187" s="125">
        <f t="shared" si="87"/>
        <v>1.0149261826341396</v>
      </c>
      <c r="AZ187" s="125">
        <f t="shared" si="88"/>
        <v>0.74779124416191922</v>
      </c>
      <c r="BA187" s="125">
        <f t="shared" si="89"/>
        <v>0.75778843065650014</v>
      </c>
      <c r="BB187" s="125">
        <f t="shared" si="90"/>
        <v>0.88881210371831609</v>
      </c>
      <c r="BC187" s="14">
        <f t="shared" ref="BC187:BC211" si="96">BD187+BE187</f>
        <v>276849.53424657532</v>
      </c>
      <c r="BD187" s="14">
        <f t="shared" ref="BD187:BD211" si="97">$BD$4*BF187</f>
        <v>127410</v>
      </c>
      <c r="BE187" s="14">
        <f t="shared" ref="BE187:BE211" si="98">$BE$4*BF187</f>
        <v>149439.53424657535</v>
      </c>
      <c r="BF187" s="14">
        <v>31</v>
      </c>
      <c r="BG187" s="14"/>
      <c r="BH187" s="179">
        <f t="shared" si="91"/>
        <v>0</v>
      </c>
      <c r="BI187" s="179">
        <f t="shared" si="92"/>
        <v>0</v>
      </c>
      <c r="BJ187" s="259">
        <f t="shared" ref="BJ187:BJ211" si="99">1-BI187-BH187</f>
        <v>1</v>
      </c>
      <c r="BK187" s="14">
        <f t="shared" si="93"/>
        <v>310140.33100000001</v>
      </c>
      <c r="BL187" s="14">
        <f t="shared" ref="BL187:BL211" si="100">SUM(AO187,AR187,AS187)</f>
        <v>175354</v>
      </c>
      <c r="BM187" s="14">
        <f t="shared" si="85"/>
        <v>56.540211792061314</v>
      </c>
    </row>
    <row r="188" spans="1:65" x14ac:dyDescent="0.2">
      <c r="A188" s="135">
        <v>44316</v>
      </c>
      <c r="B188" s="5">
        <v>295587</v>
      </c>
      <c r="C188" s="130">
        <v>5013</v>
      </c>
      <c r="D188" s="14">
        <v>14.38</v>
      </c>
      <c r="E188" s="130">
        <v>23650</v>
      </c>
      <c r="F188" s="186">
        <v>4.6899999999999997E-2</v>
      </c>
      <c r="G188" s="165">
        <f t="shared" si="80"/>
        <v>3299</v>
      </c>
      <c r="H188" s="208">
        <v>965</v>
      </c>
      <c r="I188" s="198">
        <v>2334</v>
      </c>
      <c r="J188" s="216"/>
      <c r="K188" s="216"/>
      <c r="L188" s="216"/>
      <c r="M188" s="130">
        <v>57421</v>
      </c>
      <c r="N188" s="144">
        <v>43952</v>
      </c>
      <c r="O188" s="14">
        <v>0</v>
      </c>
      <c r="P188" s="213">
        <f t="shared" si="94"/>
        <v>6441.4260000000004</v>
      </c>
      <c r="Q188" s="180">
        <v>4158.21</v>
      </c>
      <c r="R188" s="180">
        <v>345.69600000000003</v>
      </c>
      <c r="S188" s="180">
        <v>74.090999999999994</v>
      </c>
      <c r="T188" s="159">
        <v>0</v>
      </c>
      <c r="U188" s="159">
        <v>1863.4290000000001</v>
      </c>
      <c r="V188" s="5">
        <v>206404</v>
      </c>
      <c r="W188" s="194">
        <v>0</v>
      </c>
      <c r="X188" s="194">
        <v>0</v>
      </c>
      <c r="Y188" s="194">
        <v>1091</v>
      </c>
      <c r="Z188" s="194">
        <v>2183</v>
      </c>
      <c r="AA188" s="194">
        <v>2080</v>
      </c>
      <c r="AB188" s="194"/>
      <c r="AC188" s="187">
        <v>0</v>
      </c>
      <c r="AD188" s="188">
        <v>0</v>
      </c>
      <c r="AE188" s="213">
        <f t="shared" si="81"/>
        <v>5354</v>
      </c>
      <c r="AF188" s="5">
        <v>111979</v>
      </c>
      <c r="AK188" s="233"/>
      <c r="AO188" s="15">
        <v>121327</v>
      </c>
      <c r="AP188" s="125">
        <f t="shared" si="86"/>
        <v>0.41046121784787559</v>
      </c>
      <c r="AQ188" s="125">
        <v>1.5940000000000001</v>
      </c>
      <c r="AR188" s="159">
        <v>64007</v>
      </c>
      <c r="AS188" s="159">
        <v>23969</v>
      </c>
      <c r="AT188" s="159"/>
      <c r="AU188" s="101">
        <v>45583</v>
      </c>
      <c r="AV188" s="125">
        <f t="shared" si="79"/>
        <v>0.39402079929090256</v>
      </c>
      <c r="AW188" s="125">
        <f t="shared" si="66"/>
        <v>0.35411570874226539</v>
      </c>
      <c r="AX188" s="125">
        <f t="shared" si="95"/>
        <v>3.9905090548637168E-2</v>
      </c>
      <c r="AY188" s="125">
        <f t="shared" si="87"/>
        <v>0.90639610033455142</v>
      </c>
      <c r="AZ188" s="125">
        <f t="shared" si="88"/>
        <v>0.76457692659014098</v>
      </c>
      <c r="BA188" s="125">
        <f t="shared" si="89"/>
        <v>0.5973721439506986</v>
      </c>
      <c r="BB188" s="125">
        <f t="shared" si="90"/>
        <v>0.70065940635641277</v>
      </c>
      <c r="BC188" s="14">
        <f t="shared" si="96"/>
        <v>267918.90410958906</v>
      </c>
      <c r="BD188" s="14">
        <f t="shared" si="97"/>
        <v>123300</v>
      </c>
      <c r="BE188" s="14">
        <f t="shared" si="98"/>
        <v>144618.90410958903</v>
      </c>
      <c r="BF188" s="14">
        <v>30</v>
      </c>
      <c r="BG188" s="14"/>
      <c r="BH188" s="179">
        <f t="shared" si="91"/>
        <v>0</v>
      </c>
      <c r="BI188" s="179">
        <f t="shared" si="92"/>
        <v>0</v>
      </c>
      <c r="BJ188" s="259">
        <f t="shared" si="99"/>
        <v>1</v>
      </c>
      <c r="BK188" s="14">
        <f t="shared" si="93"/>
        <v>325770.42599999998</v>
      </c>
      <c r="BL188" s="14">
        <f t="shared" si="100"/>
        <v>209303</v>
      </c>
      <c r="BM188" s="14">
        <f t="shared" si="85"/>
        <v>64.248619056660473</v>
      </c>
    </row>
    <row r="189" spans="1:65" x14ac:dyDescent="0.2">
      <c r="A189" s="135">
        <v>44317</v>
      </c>
      <c r="B189" s="5">
        <v>295550</v>
      </c>
      <c r="C189" s="130">
        <v>5401</v>
      </c>
      <c r="D189" s="14">
        <v>14.45</v>
      </c>
      <c r="E189" s="130">
        <v>22088</v>
      </c>
      <c r="F189" s="186">
        <v>5.2600000000000001E-2</v>
      </c>
      <c r="G189" s="165">
        <f t="shared" si="80"/>
        <v>2688</v>
      </c>
      <c r="H189" s="208">
        <v>695</v>
      </c>
      <c r="I189" s="198">
        <v>1993</v>
      </c>
      <c r="J189" s="216"/>
      <c r="K189" s="216"/>
      <c r="L189" s="216"/>
      <c r="M189" s="130">
        <v>71582</v>
      </c>
      <c r="N189" s="144">
        <v>35167</v>
      </c>
      <c r="O189" s="14">
        <v>2012</v>
      </c>
      <c r="P189" s="213">
        <f t="shared" si="94"/>
        <v>4490.826</v>
      </c>
      <c r="Q189" s="180">
        <v>2733.98</v>
      </c>
      <c r="R189" s="180">
        <v>32.57</v>
      </c>
      <c r="S189" s="180">
        <v>786.24400000000003</v>
      </c>
      <c r="T189" s="159">
        <v>0</v>
      </c>
      <c r="U189" s="159">
        <v>938.03200000000004</v>
      </c>
      <c r="V189" s="5">
        <v>252900</v>
      </c>
      <c r="W189" s="194">
        <v>0</v>
      </c>
      <c r="X189" s="194">
        <v>0</v>
      </c>
      <c r="Y189" s="194">
        <v>1192</v>
      </c>
      <c r="Z189" s="194">
        <v>1926</v>
      </c>
      <c r="AA189" s="194">
        <v>1974</v>
      </c>
      <c r="AB189" s="194"/>
      <c r="AC189" s="187">
        <v>0</v>
      </c>
      <c r="AD189" s="188">
        <v>42026</v>
      </c>
      <c r="AE189" s="213">
        <f>SUM(W189:AC189)</f>
        <v>5092</v>
      </c>
      <c r="AF189" s="5">
        <v>133351</v>
      </c>
      <c r="AK189" s="233"/>
      <c r="AO189" s="15">
        <v>127045</v>
      </c>
      <c r="AP189" s="125">
        <f t="shared" si="86"/>
        <v>0.42985958382676365</v>
      </c>
      <c r="AQ189" s="125">
        <v>4.2988709680000001</v>
      </c>
      <c r="AR189" s="159">
        <v>62180</v>
      </c>
      <c r="AS189" s="159">
        <v>18778</v>
      </c>
      <c r="AT189" s="159"/>
      <c r="AU189" s="101">
        <v>45583</v>
      </c>
      <c r="AV189" s="125">
        <f t="shared" si="79"/>
        <v>0.40270622906445608</v>
      </c>
      <c r="AW189" s="125">
        <f t="shared" si="66"/>
        <v>0.37028252410759599</v>
      </c>
      <c r="AX189" s="125">
        <f t="shared" si="95"/>
        <v>3.2423704956860089E-2</v>
      </c>
      <c r="AY189" s="125">
        <f t="shared" si="87"/>
        <v>0.93672655810040706</v>
      </c>
      <c r="AZ189" s="125">
        <f t="shared" si="88"/>
        <v>0.80014210793435969</v>
      </c>
      <c r="BA189" s="125">
        <f t="shared" si="89"/>
        <v>0.50379596678529059</v>
      </c>
      <c r="BB189" s="125">
        <f t="shared" si="90"/>
        <v>0.5909036545930223</v>
      </c>
      <c r="BC189" s="14">
        <f t="shared" si="96"/>
        <v>276849.53424657532</v>
      </c>
      <c r="BD189" s="14">
        <f t="shared" si="97"/>
        <v>127410</v>
      </c>
      <c r="BE189" s="14">
        <f t="shared" si="98"/>
        <v>149439.53424657535</v>
      </c>
      <c r="BF189" s="14">
        <v>31</v>
      </c>
      <c r="BG189" s="14"/>
      <c r="BH189" s="179">
        <f t="shared" si="91"/>
        <v>1.8847951737252809E-2</v>
      </c>
      <c r="BI189" s="179">
        <f t="shared" si="92"/>
        <v>0.39368987063110661</v>
      </c>
      <c r="BJ189" s="259">
        <f t="shared" si="99"/>
        <v>0.58746217763164055</v>
      </c>
      <c r="BK189" s="14">
        <f t="shared" si="93"/>
        <v>329034.826</v>
      </c>
      <c r="BL189" s="14">
        <f t="shared" si="100"/>
        <v>208003</v>
      </c>
      <c r="BM189" s="14">
        <f t="shared" si="85"/>
        <v>63.216104668507036</v>
      </c>
    </row>
    <row r="190" spans="1:65" x14ac:dyDescent="0.2">
      <c r="A190" s="135">
        <v>44349</v>
      </c>
      <c r="B190" s="5">
        <v>262838</v>
      </c>
      <c r="C190" s="130">
        <v>5550</v>
      </c>
      <c r="D190" s="14">
        <v>14.26</v>
      </c>
      <c r="E190" s="130">
        <v>19673</v>
      </c>
      <c r="F190" s="186">
        <v>4.8800000000000003E-2</v>
      </c>
      <c r="G190" s="165">
        <f t="shared" si="80"/>
        <v>2324</v>
      </c>
      <c r="H190" s="208">
        <v>492</v>
      </c>
      <c r="I190" s="198">
        <v>1832</v>
      </c>
      <c r="J190" s="216"/>
      <c r="K190" s="216"/>
      <c r="L190" s="216"/>
      <c r="M190" s="130">
        <v>79801</v>
      </c>
      <c r="N190" s="144">
        <v>44348</v>
      </c>
      <c r="O190" s="14">
        <v>0</v>
      </c>
      <c r="P190" s="213">
        <f t="shared" si="94"/>
        <v>6579.6249999999991</v>
      </c>
      <c r="Q190" s="180">
        <v>2363.02</v>
      </c>
      <c r="R190" s="180">
        <v>7.18</v>
      </c>
      <c r="S190" s="180">
        <v>686.97299999999996</v>
      </c>
      <c r="T190" s="159">
        <v>3521.44</v>
      </c>
      <c r="U190" s="159">
        <v>1.012</v>
      </c>
      <c r="V190" s="5">
        <v>202980</v>
      </c>
      <c r="W190" s="194">
        <v>0</v>
      </c>
      <c r="X190" s="194">
        <v>0</v>
      </c>
      <c r="Y190" s="194">
        <v>509</v>
      </c>
      <c r="Z190" s="194">
        <v>2129</v>
      </c>
      <c r="AA190" s="194">
        <v>2087</v>
      </c>
      <c r="AB190" s="194"/>
      <c r="AC190" s="187">
        <v>0</v>
      </c>
      <c r="AD190" s="188">
        <v>0</v>
      </c>
      <c r="AE190" s="213">
        <f>SUM(W190:AC190)</f>
        <v>4725</v>
      </c>
      <c r="AF190" s="5">
        <v>119288</v>
      </c>
      <c r="AK190" s="233"/>
      <c r="AO190" s="15">
        <v>71706</v>
      </c>
      <c r="AP190" s="125">
        <f t="shared" si="86"/>
        <v>0.27281443322502835</v>
      </c>
      <c r="AQ190" s="125">
        <v>1.4471666670000001</v>
      </c>
      <c r="AR190" s="159">
        <v>47972</v>
      </c>
      <c r="AS190" s="159">
        <v>18447</v>
      </c>
      <c r="AT190" s="159"/>
      <c r="AU190" s="101">
        <v>45583</v>
      </c>
      <c r="AV190" s="125">
        <f t="shared" si="79"/>
        <v>0.52419218301767634</v>
      </c>
      <c r="AW190" s="125">
        <f t="shared" si="66"/>
        <v>0.48118232523455512</v>
      </c>
      <c r="AX190" s="125">
        <f t="shared" si="95"/>
        <v>4.3009857783121219E-2</v>
      </c>
      <c r="AY190" s="125">
        <f t="shared" si="87"/>
        <v>1.0193309343001737</v>
      </c>
      <c r="AZ190" s="125">
        <f t="shared" si="88"/>
        <v>0.75399675845958347</v>
      </c>
      <c r="BA190" s="125">
        <f t="shared" si="89"/>
        <v>0.60744900975465566</v>
      </c>
      <c r="BB190" s="125">
        <f t="shared" si="90"/>
        <v>0.71247858956344978</v>
      </c>
      <c r="BC190" s="14">
        <f t="shared" si="96"/>
        <v>267918.90410958906</v>
      </c>
      <c r="BD190" s="14">
        <f t="shared" si="97"/>
        <v>123300</v>
      </c>
      <c r="BE190" s="14">
        <f t="shared" si="98"/>
        <v>144618.90410958903</v>
      </c>
      <c r="BF190" s="14">
        <v>30</v>
      </c>
      <c r="BG190" s="14"/>
      <c r="BH190" s="179">
        <f t="shared" si="91"/>
        <v>0</v>
      </c>
      <c r="BI190" s="179">
        <f t="shared" si="92"/>
        <v>0</v>
      </c>
      <c r="BJ190" s="259">
        <f t="shared" si="99"/>
        <v>1</v>
      </c>
      <c r="BK190" s="14">
        <f t="shared" si="93"/>
        <v>275902.625</v>
      </c>
      <c r="BL190" s="14">
        <f t="shared" si="100"/>
        <v>138125</v>
      </c>
      <c r="BM190" s="14">
        <f t="shared" si="85"/>
        <v>50.062952463754193</v>
      </c>
    </row>
    <row r="191" spans="1:65" x14ac:dyDescent="0.2">
      <c r="A191" s="135">
        <v>44380</v>
      </c>
      <c r="B191" s="5">
        <v>285477</v>
      </c>
      <c r="C191" s="130">
        <v>5649</v>
      </c>
      <c r="D191" s="14">
        <v>13.68</v>
      </c>
      <c r="E191" s="130">
        <v>22860</v>
      </c>
      <c r="F191" s="186">
        <v>4.8599999999999997E-2</v>
      </c>
      <c r="G191" s="165">
        <f t="shared" si="80"/>
        <v>2999</v>
      </c>
      <c r="H191" s="208">
        <v>1431</v>
      </c>
      <c r="I191" s="198">
        <v>1568</v>
      </c>
      <c r="J191" s="216"/>
      <c r="K191" s="216"/>
      <c r="L191" s="216"/>
      <c r="M191" s="130">
        <v>88142</v>
      </c>
      <c r="N191" s="144">
        <v>43634</v>
      </c>
      <c r="O191" s="14">
        <v>0</v>
      </c>
      <c r="P191" s="213">
        <f t="shared" si="94"/>
        <v>8854.9310000000005</v>
      </c>
      <c r="Q191" s="180">
        <v>2639.69</v>
      </c>
      <c r="R191" s="180">
        <v>1.79</v>
      </c>
      <c r="S191" s="180">
        <v>723.721</v>
      </c>
      <c r="T191" s="159">
        <v>4746.57</v>
      </c>
      <c r="U191" s="159">
        <v>743.16</v>
      </c>
      <c r="V191" s="5">
        <v>225490</v>
      </c>
      <c r="W191" s="194">
        <v>0</v>
      </c>
      <c r="X191" s="194">
        <v>0</v>
      </c>
      <c r="Y191" s="194">
        <v>0</v>
      </c>
      <c r="Z191" s="194">
        <v>2614</v>
      </c>
      <c r="AA191" s="194">
        <v>2570</v>
      </c>
      <c r="AB191" s="194"/>
      <c r="AC191" s="187">
        <v>0</v>
      </c>
      <c r="AD191" s="188">
        <v>0</v>
      </c>
      <c r="AE191" s="213">
        <f>SUM(W191:AC191)</f>
        <v>5184</v>
      </c>
      <c r="AF191" s="5">
        <v>153635</v>
      </c>
      <c r="AK191" s="233"/>
      <c r="AO191" s="15">
        <v>70599</v>
      </c>
      <c r="AP191" s="125">
        <f t="shared" si="86"/>
        <v>0.24730188421484042</v>
      </c>
      <c r="AQ191" s="125">
        <v>1.5264516130000001</v>
      </c>
      <c r="AR191" s="159">
        <v>48670</v>
      </c>
      <c r="AS191" s="159">
        <v>18239</v>
      </c>
      <c r="AT191" s="159"/>
      <c r="AU191" s="101">
        <v>45583</v>
      </c>
      <c r="AV191" s="125">
        <f t="shared" si="79"/>
        <v>0.52128168293767974</v>
      </c>
      <c r="AW191" s="125">
        <f t="shared" si="66"/>
        <v>0.47210458285606194</v>
      </c>
      <c r="AX191" s="125">
        <f t="shared" si="95"/>
        <v>4.9177100081617797E-2</v>
      </c>
      <c r="AY191" s="125">
        <f t="shared" si="87"/>
        <v>0.96977877113243915</v>
      </c>
      <c r="AZ191" s="125">
        <f t="shared" si="88"/>
        <v>0.71940646707090239</v>
      </c>
      <c r="BA191" s="125">
        <f t="shared" si="89"/>
        <v>0.56503614350969</v>
      </c>
      <c r="BB191" s="125">
        <f t="shared" si="90"/>
        <v>0.66273242381735487</v>
      </c>
      <c r="BC191" s="14">
        <f t="shared" si="96"/>
        <v>276849.53424657532</v>
      </c>
      <c r="BD191" s="14">
        <f t="shared" si="97"/>
        <v>127410</v>
      </c>
      <c r="BE191" s="14">
        <f t="shared" si="98"/>
        <v>149439.53424657535</v>
      </c>
      <c r="BF191" s="14">
        <v>31</v>
      </c>
      <c r="BG191" s="14"/>
      <c r="BH191" s="179">
        <f t="shared" si="91"/>
        <v>0</v>
      </c>
      <c r="BI191" s="179">
        <f t="shared" si="92"/>
        <v>0</v>
      </c>
      <c r="BJ191" s="259">
        <f t="shared" si="99"/>
        <v>1</v>
      </c>
      <c r="BK191" s="14">
        <f t="shared" si="93"/>
        <v>286321.93099999998</v>
      </c>
      <c r="BL191" s="14">
        <f t="shared" si="100"/>
        <v>137508</v>
      </c>
      <c r="BM191" s="14">
        <f t="shared" si="85"/>
        <v>48.025661017213523</v>
      </c>
    </row>
    <row r="192" spans="1:65" x14ac:dyDescent="0.2">
      <c r="A192" s="135">
        <v>44412</v>
      </c>
      <c r="B192" s="5">
        <v>289747</v>
      </c>
      <c r="C192" s="130">
        <v>5268</v>
      </c>
      <c r="D192" s="14">
        <v>13.61</v>
      </c>
      <c r="E192" s="130">
        <v>22425</v>
      </c>
      <c r="F192" s="186">
        <v>4.87E-2</v>
      </c>
      <c r="G192" s="165">
        <f t="shared" si="80"/>
        <v>2844</v>
      </c>
      <c r="H192" s="208">
        <v>1324</v>
      </c>
      <c r="I192" s="198">
        <v>1520</v>
      </c>
      <c r="J192" s="216"/>
      <c r="K192" s="216"/>
      <c r="L192" s="216"/>
      <c r="M192" s="130">
        <v>93879</v>
      </c>
      <c r="N192" s="144">
        <v>62131</v>
      </c>
      <c r="O192" s="14">
        <v>0</v>
      </c>
      <c r="P192" s="213">
        <f t="shared" si="94"/>
        <v>8068.0819999999994</v>
      </c>
      <c r="Q192" s="180">
        <v>2408.9499999999998</v>
      </c>
      <c r="R192" s="180">
        <v>0</v>
      </c>
      <c r="S192" s="180">
        <v>651.68200000000002</v>
      </c>
      <c r="T192" s="159">
        <v>4465.45</v>
      </c>
      <c r="U192" s="159">
        <v>542</v>
      </c>
      <c r="V192" s="5">
        <v>153543</v>
      </c>
      <c r="W192" s="194">
        <v>0</v>
      </c>
      <c r="X192" s="194">
        <v>0</v>
      </c>
      <c r="Y192" s="194">
        <v>0</v>
      </c>
      <c r="Z192" s="194">
        <v>2697</v>
      </c>
      <c r="AA192" s="194">
        <v>2688</v>
      </c>
      <c r="AB192" s="194"/>
      <c r="AC192" s="187">
        <v>0</v>
      </c>
      <c r="AD192" s="188">
        <v>897</v>
      </c>
      <c r="AE192" s="213">
        <f>SUM(W192:AC192)</f>
        <v>5385</v>
      </c>
      <c r="AF192" s="5">
        <v>115187</v>
      </c>
      <c r="AK192" s="233"/>
      <c r="AO192" s="15">
        <v>92841</v>
      </c>
      <c r="AP192" s="125">
        <f t="shared" si="86"/>
        <v>0.32042091893962665</v>
      </c>
      <c r="AQ192" s="125">
        <v>1.5398387099999999</v>
      </c>
      <c r="AR192" s="159">
        <v>47755</v>
      </c>
      <c r="AS192" s="159">
        <v>16564</v>
      </c>
      <c r="AT192" s="159"/>
      <c r="AU192" s="101">
        <v>45583</v>
      </c>
      <c r="AV192" s="125">
        <f t="shared" si="79"/>
        <v>0.59468115977042035</v>
      </c>
      <c r="AW192" s="125">
        <f t="shared" si="66"/>
        <v>0.54825071527919189</v>
      </c>
      <c r="AX192" s="125">
        <f t="shared" si="95"/>
        <v>4.6430444491228462E-2</v>
      </c>
      <c r="AY192" s="125">
        <f t="shared" si="87"/>
        <v>0.95548714653326983</v>
      </c>
      <c r="AZ192" s="125">
        <f t="shared" si="88"/>
        <v>0.86867163421881843</v>
      </c>
      <c r="BA192" s="125">
        <f t="shared" si="89"/>
        <v>0.82980012113870383</v>
      </c>
      <c r="BB192" s="125">
        <f t="shared" si="90"/>
        <v>0.97327481061706067</v>
      </c>
      <c r="BC192" s="14">
        <f t="shared" si="96"/>
        <v>276849.53424657532</v>
      </c>
      <c r="BD192" s="14">
        <f t="shared" si="97"/>
        <v>127410</v>
      </c>
      <c r="BE192" s="14">
        <f t="shared" si="98"/>
        <v>149439.53424657535</v>
      </c>
      <c r="BF192" s="14">
        <v>31</v>
      </c>
      <c r="BG192" s="14"/>
      <c r="BH192" s="179">
        <f t="shared" si="91"/>
        <v>0</v>
      </c>
      <c r="BI192" s="179">
        <f t="shared" si="92"/>
        <v>5.7496314338824437E-3</v>
      </c>
      <c r="BJ192" s="259">
        <f t="shared" si="99"/>
        <v>0.99425036856611759</v>
      </c>
      <c r="BK192" s="14">
        <f t="shared" si="93"/>
        <v>329467.08199999999</v>
      </c>
      <c r="BL192" s="14">
        <f t="shared" si="100"/>
        <v>157160</v>
      </c>
      <c r="BM192" s="14">
        <f t="shared" ref="BM192:BM211" si="101">(BL192*100)/BK192</f>
        <v>47.701275358367973</v>
      </c>
    </row>
    <row r="193" spans="1:65" x14ac:dyDescent="0.2">
      <c r="A193" s="135">
        <v>44444</v>
      </c>
      <c r="B193" s="5">
        <v>276712</v>
      </c>
      <c r="C193" s="130">
        <v>4885</v>
      </c>
      <c r="D193" s="14">
        <v>13.29</v>
      </c>
      <c r="E193" s="130">
        <v>21902</v>
      </c>
      <c r="F193" s="186">
        <v>5.0599999999999999E-2</v>
      </c>
      <c r="G193" s="165">
        <f t="shared" si="80"/>
        <v>3128</v>
      </c>
      <c r="H193" s="208">
        <v>1206</v>
      </c>
      <c r="I193" s="198">
        <v>1922</v>
      </c>
      <c r="J193" s="216"/>
      <c r="K193" s="216"/>
      <c r="L193" s="216"/>
      <c r="M193" s="130">
        <v>69204</v>
      </c>
      <c r="N193" s="144">
        <v>55105</v>
      </c>
      <c r="O193" s="14">
        <v>0</v>
      </c>
      <c r="P193" s="213">
        <f t="shared" si="94"/>
        <v>8137.6699999999992</v>
      </c>
      <c r="Q193" s="180">
        <v>2401.16</v>
      </c>
      <c r="R193" s="180">
        <v>0</v>
      </c>
      <c r="S193" s="180">
        <v>765.22699999999998</v>
      </c>
      <c r="T193" s="159">
        <v>4271.7</v>
      </c>
      <c r="U193" s="159">
        <v>699.58299999999997</v>
      </c>
      <c r="V193" s="5">
        <v>98553</v>
      </c>
      <c r="W193" s="194"/>
      <c r="X193" s="194">
        <v>0</v>
      </c>
      <c r="Y193" s="194">
        <v>0</v>
      </c>
      <c r="Z193" s="194">
        <v>2311</v>
      </c>
      <c r="AA193" s="194">
        <v>2552</v>
      </c>
      <c r="AB193" s="194"/>
      <c r="AC193" s="187">
        <v>0</v>
      </c>
      <c r="AD193" s="188">
        <v>1693</v>
      </c>
      <c r="AE193" s="213">
        <f t="shared" ref="AE193:AE205" si="102">SUM(W193:AD193)</f>
        <v>6556</v>
      </c>
      <c r="AF193" s="5">
        <v>49284</v>
      </c>
      <c r="AK193" s="233"/>
      <c r="AO193" s="15">
        <v>80500</v>
      </c>
      <c r="AP193" s="125">
        <f t="shared" si="86"/>
        <v>0.29091618722715312</v>
      </c>
      <c r="AQ193" s="125">
        <v>1.5551666669999999</v>
      </c>
      <c r="AR193" s="159">
        <v>39107</v>
      </c>
      <c r="AS193" s="159">
        <v>17348</v>
      </c>
      <c r="AT193" s="159"/>
      <c r="AU193" s="101">
        <v>45583</v>
      </c>
      <c r="AV193" s="125">
        <f t="shared" si="79"/>
        <v>0.51364115036572322</v>
      </c>
      <c r="AW193" s="125">
        <f t="shared" si="66"/>
        <v>0.46054020064182255</v>
      </c>
      <c r="AX193" s="125">
        <f t="shared" si="95"/>
        <v>5.310094972390067E-2</v>
      </c>
      <c r="AY193" s="125">
        <f t="shared" si="87"/>
        <v>0.96822293254209812</v>
      </c>
      <c r="AZ193" s="125">
        <f t="shared" si="88"/>
        <v>0.75145638786897573</v>
      </c>
      <c r="BA193" s="125">
        <f t="shared" si="89"/>
        <v>1.2511034671699492</v>
      </c>
      <c r="BB193" s="125">
        <f t="shared" si="90"/>
        <v>1.4674226467950142</v>
      </c>
      <c r="BC193" s="14">
        <f t="shared" si="96"/>
        <v>267918.90410958906</v>
      </c>
      <c r="BD193" s="14">
        <f t="shared" si="97"/>
        <v>123300</v>
      </c>
      <c r="BE193" s="14">
        <f t="shared" si="98"/>
        <v>144618.90410958903</v>
      </c>
      <c r="BF193" s="14">
        <v>30</v>
      </c>
      <c r="BG193" s="14"/>
      <c r="BH193" s="179">
        <f t="shared" si="91"/>
        <v>0</v>
      </c>
      <c r="BI193" s="179">
        <f t="shared" si="92"/>
        <v>1.3619287420862528E-2</v>
      </c>
      <c r="BJ193" s="259">
        <f t="shared" si="99"/>
        <v>0.98638071257913751</v>
      </c>
      <c r="BK193" s="14">
        <f t="shared" si="93"/>
        <v>279085.67000000004</v>
      </c>
      <c r="BL193" s="14">
        <f t="shared" si="100"/>
        <v>136955</v>
      </c>
      <c r="BM193" s="14">
        <f t="shared" si="101"/>
        <v>49.072745297169853</v>
      </c>
    </row>
    <row r="194" spans="1:65" x14ac:dyDescent="0.2">
      <c r="A194" s="135">
        <v>44475</v>
      </c>
      <c r="B194" s="5">
        <v>279808</v>
      </c>
      <c r="C194" s="130">
        <v>5054</v>
      </c>
      <c r="D194" s="14">
        <v>13.95</v>
      </c>
      <c r="E194" s="130">
        <v>19280</v>
      </c>
      <c r="F194" s="186">
        <v>5.1200000000000002E-2</v>
      </c>
      <c r="G194" s="165">
        <f t="shared" si="80"/>
        <v>3455</v>
      </c>
      <c r="H194" s="208">
        <v>2450</v>
      </c>
      <c r="I194" s="198">
        <v>1005</v>
      </c>
      <c r="J194" s="216"/>
      <c r="K194" s="216"/>
      <c r="L194" s="216"/>
      <c r="M194" s="130">
        <v>76136</v>
      </c>
      <c r="N194" s="144">
        <v>51036</v>
      </c>
      <c r="O194" s="14">
        <v>0</v>
      </c>
      <c r="P194" s="213">
        <f t="shared" si="94"/>
        <v>8539.3460000000014</v>
      </c>
      <c r="Q194" s="180">
        <v>2548</v>
      </c>
      <c r="R194" s="180">
        <v>0</v>
      </c>
      <c r="S194" s="180">
        <v>5013.1400000000003</v>
      </c>
      <c r="T194" s="159">
        <v>644.10599999999999</v>
      </c>
      <c r="U194" s="159">
        <v>334.1</v>
      </c>
      <c r="V194" s="5">
        <v>204147</v>
      </c>
      <c r="W194" s="194">
        <v>0</v>
      </c>
      <c r="X194" s="194">
        <v>0</v>
      </c>
      <c r="Y194" s="194">
        <v>0</v>
      </c>
      <c r="Z194" s="194">
        <v>3112</v>
      </c>
      <c r="AA194" s="194">
        <v>2939</v>
      </c>
      <c r="AB194" s="194"/>
      <c r="AC194" s="187">
        <v>0</v>
      </c>
      <c r="AD194" s="188">
        <v>0</v>
      </c>
      <c r="AE194" s="213">
        <f t="shared" si="102"/>
        <v>6051</v>
      </c>
      <c r="AF194" s="5">
        <v>133072</v>
      </c>
      <c r="AK194" s="233"/>
      <c r="AO194" s="15">
        <v>69587</v>
      </c>
      <c r="AP194" s="125">
        <f t="shared" si="86"/>
        <v>0.24869553408051234</v>
      </c>
      <c r="AQ194" s="125">
        <v>1.5633870969999999</v>
      </c>
      <c r="AR194" s="159">
        <v>51881</v>
      </c>
      <c r="AS194" s="159">
        <v>8957</v>
      </c>
      <c r="AT194" s="159"/>
      <c r="AU194" s="101">
        <v>45583</v>
      </c>
      <c r="AV194" s="125">
        <f t="shared" si="79"/>
        <v>0.5189892569190302</v>
      </c>
      <c r="AW194" s="125">
        <f t="shared" si="66"/>
        <v>0.46684512236962489</v>
      </c>
      <c r="AX194" s="125">
        <f t="shared" si="95"/>
        <v>5.2144134549405308E-2</v>
      </c>
      <c r="AY194" s="125">
        <f t="shared" si="87"/>
        <v>0.98942680068681144</v>
      </c>
      <c r="AZ194" s="125">
        <f t="shared" si="88"/>
        <v>0.7155406564501372</v>
      </c>
      <c r="BA194" s="125">
        <f t="shared" si="89"/>
        <v>0.6241090978559567</v>
      </c>
      <c r="BB194" s="125">
        <f t="shared" si="90"/>
        <v>0.73201925204179019</v>
      </c>
      <c r="BC194" s="14">
        <f t="shared" si="96"/>
        <v>276849.53424657532</v>
      </c>
      <c r="BD194" s="14">
        <f t="shared" si="97"/>
        <v>127410</v>
      </c>
      <c r="BE194" s="14">
        <f t="shared" si="98"/>
        <v>149439.53424657535</v>
      </c>
      <c r="BF194" s="14">
        <v>31</v>
      </c>
      <c r="BG194" s="14"/>
      <c r="BH194" s="179">
        <f t="shared" si="91"/>
        <v>0</v>
      </c>
      <c r="BI194" s="179">
        <f t="shared" si="92"/>
        <v>0</v>
      </c>
      <c r="BJ194" s="259">
        <f t="shared" si="99"/>
        <v>1</v>
      </c>
      <c r="BK194" s="14">
        <f t="shared" si="93"/>
        <v>275642.34600000002</v>
      </c>
      <c r="BL194" s="14">
        <f t="shared" si="100"/>
        <v>130425</v>
      </c>
      <c r="BM194" s="14">
        <f t="shared" si="101"/>
        <v>47.316750090350773</v>
      </c>
    </row>
    <row r="195" spans="1:65" x14ac:dyDescent="0.2">
      <c r="A195" s="135">
        <v>44507</v>
      </c>
      <c r="B195" s="5">
        <v>267577</v>
      </c>
      <c r="C195" s="130">
        <v>4600</v>
      </c>
      <c r="D195" s="14">
        <v>13.9</v>
      </c>
      <c r="E195" s="130">
        <v>13965</v>
      </c>
      <c r="F195" s="186">
        <v>5.1999999999999998E-2</v>
      </c>
      <c r="G195" s="165">
        <f t="shared" si="80"/>
        <v>3993</v>
      </c>
      <c r="H195" s="208">
        <v>1189</v>
      </c>
      <c r="I195" s="198">
        <v>2804</v>
      </c>
      <c r="J195" s="216"/>
      <c r="K195" s="216"/>
      <c r="L195" s="216"/>
      <c r="M195" s="130">
        <v>88873</v>
      </c>
      <c r="N195" s="144">
        <v>13235</v>
      </c>
      <c r="O195" s="14">
        <v>0</v>
      </c>
      <c r="P195" s="213">
        <f t="shared" si="94"/>
        <v>7126.1010000000006</v>
      </c>
      <c r="Q195" s="180">
        <v>2310</v>
      </c>
      <c r="R195" s="180">
        <v>0</v>
      </c>
      <c r="S195" s="180">
        <v>545.58299999999997</v>
      </c>
      <c r="T195" s="159">
        <v>4131</v>
      </c>
      <c r="U195" s="159">
        <v>139.518</v>
      </c>
      <c r="V195" s="5">
        <v>196862</v>
      </c>
      <c r="W195" s="194">
        <v>0</v>
      </c>
      <c r="X195" s="194">
        <v>0</v>
      </c>
      <c r="Y195" s="194">
        <v>513</v>
      </c>
      <c r="Z195" s="194">
        <v>2737</v>
      </c>
      <c r="AA195" s="194">
        <v>3085</v>
      </c>
      <c r="AB195" s="194"/>
      <c r="AC195" s="187">
        <v>0</v>
      </c>
      <c r="AD195" s="188">
        <v>0</v>
      </c>
      <c r="AE195" s="213">
        <f t="shared" si="102"/>
        <v>6335</v>
      </c>
      <c r="AF195" s="5">
        <v>119518</v>
      </c>
      <c r="AK195" s="233"/>
      <c r="AO195" s="15">
        <v>125276</v>
      </c>
      <c r="AP195" s="125">
        <f t="shared" si="86"/>
        <v>0.46818672755879615</v>
      </c>
      <c r="AQ195" s="125">
        <v>1.6451666599999999</v>
      </c>
      <c r="AR195" s="159">
        <v>49248</v>
      </c>
      <c r="AS195" s="159">
        <v>15780</v>
      </c>
      <c r="AT195" s="159"/>
      <c r="AU195" s="101">
        <v>45583</v>
      </c>
      <c r="AV195" s="125">
        <f t="shared" si="79"/>
        <v>0.44683250428848514</v>
      </c>
      <c r="AW195" s="125">
        <f t="shared" si="66"/>
        <v>0.39652511239755284</v>
      </c>
      <c r="AX195" s="125">
        <f t="shared" si="95"/>
        <v>5.0307391890932307E-2</v>
      </c>
      <c r="AY195" s="125">
        <f t="shared" si="87"/>
        <v>1.0012777783949631</v>
      </c>
      <c r="AZ195" s="125">
        <f t="shared" si="88"/>
        <v>0.86471183995634904</v>
      </c>
      <c r="BA195" s="125">
        <f t="shared" si="89"/>
        <v>0.62632707175584923</v>
      </c>
      <c r="BB195" s="125">
        <f t="shared" ref="BB195:BB223" si="103">BE194/V194</f>
        <v>0.73201925204179019</v>
      </c>
      <c r="BC195" s="14">
        <f t="shared" si="96"/>
        <v>267918.90410958906</v>
      </c>
      <c r="BD195" s="14">
        <f t="shared" si="97"/>
        <v>123300</v>
      </c>
      <c r="BE195" s="14">
        <f t="shared" si="98"/>
        <v>144618.90410958903</v>
      </c>
      <c r="BF195" s="14">
        <v>30</v>
      </c>
      <c r="BG195" s="14"/>
      <c r="BH195" s="179">
        <f t="shared" si="91"/>
        <v>0</v>
      </c>
      <c r="BI195" s="179">
        <f t="shared" si="92"/>
        <v>0</v>
      </c>
      <c r="BJ195" s="259">
        <f t="shared" si="99"/>
        <v>1</v>
      </c>
      <c r="BK195" s="14">
        <f t="shared" si="93"/>
        <v>309866.10100000002</v>
      </c>
      <c r="BL195" s="14">
        <f t="shared" si="100"/>
        <v>190304</v>
      </c>
      <c r="BM195" s="14">
        <f t="shared" si="101"/>
        <v>61.414914179334509</v>
      </c>
    </row>
    <row r="196" spans="1:65" x14ac:dyDescent="0.2">
      <c r="A196" s="135">
        <v>44538</v>
      </c>
      <c r="B196" s="5">
        <v>274872</v>
      </c>
      <c r="C196" s="130">
        <v>4937</v>
      </c>
      <c r="D196" s="14">
        <v>14.81</v>
      </c>
      <c r="E196" s="130">
        <v>17702</v>
      </c>
      <c r="F196" s="186">
        <v>5.45E-2</v>
      </c>
      <c r="G196" s="165">
        <f t="shared" si="80"/>
        <v>3849</v>
      </c>
      <c r="H196" s="208">
        <v>1262</v>
      </c>
      <c r="I196" s="198">
        <v>2587</v>
      </c>
      <c r="J196" s="216"/>
      <c r="K196" s="216"/>
      <c r="L196" s="216"/>
      <c r="M196" s="130">
        <v>37580</v>
      </c>
      <c r="N196" s="144">
        <v>62801</v>
      </c>
      <c r="O196" s="14">
        <v>0</v>
      </c>
      <c r="P196" s="213">
        <f t="shared" si="94"/>
        <v>7748.1270000000004</v>
      </c>
      <c r="Q196" s="180">
        <v>2592.25</v>
      </c>
      <c r="R196" s="180">
        <v>0</v>
      </c>
      <c r="S196" s="180">
        <v>584.447</v>
      </c>
      <c r="T196" s="159">
        <v>4422.08</v>
      </c>
      <c r="U196" s="159">
        <v>149.35</v>
      </c>
      <c r="V196" s="5">
        <v>139821</v>
      </c>
      <c r="W196" s="194">
        <v>0</v>
      </c>
      <c r="X196" s="194">
        <v>0</v>
      </c>
      <c r="Y196" s="194">
        <v>1451</v>
      </c>
      <c r="Z196" s="194">
        <v>3182</v>
      </c>
      <c r="AA196" s="194">
        <v>3302</v>
      </c>
      <c r="AB196" s="194"/>
      <c r="AC196" s="187">
        <v>0</v>
      </c>
      <c r="AD196" s="188">
        <v>0</v>
      </c>
      <c r="AE196" s="213">
        <f t="shared" si="102"/>
        <v>7935</v>
      </c>
      <c r="AF196" s="5">
        <v>73055</v>
      </c>
      <c r="AG196" s="5">
        <v>73055</v>
      </c>
      <c r="AH196" s="5">
        <v>73055</v>
      </c>
      <c r="AI196" s="5">
        <v>73055</v>
      </c>
      <c r="AJ196" s="218">
        <v>73055</v>
      </c>
      <c r="AK196" s="233"/>
      <c r="AL196" s="228"/>
      <c r="AM196" s="5"/>
      <c r="AN196" s="5"/>
      <c r="AO196" s="15">
        <v>102050</v>
      </c>
      <c r="AP196" s="125">
        <f t="shared" si="86"/>
        <v>0.37126371547483922</v>
      </c>
      <c r="AQ196" s="125">
        <v>1.601</v>
      </c>
      <c r="AR196" s="159">
        <v>49779</v>
      </c>
      <c r="AS196" s="159">
        <v>16694</v>
      </c>
      <c r="AT196" s="159"/>
      <c r="AU196" s="101">
        <v>45583</v>
      </c>
      <c r="AV196" s="125">
        <f t="shared" si="79"/>
        <v>0.4362507894583661</v>
      </c>
      <c r="AW196" s="125">
        <f t="shared" si="66"/>
        <v>0.37919467970546289</v>
      </c>
      <c r="AX196" s="125">
        <f t="shared" si="95"/>
        <v>5.7056109752903206E-2</v>
      </c>
      <c r="AY196" s="125">
        <f t="shared" si="87"/>
        <v>1.007194382281845</v>
      </c>
      <c r="AZ196" s="125">
        <f t="shared" si="88"/>
        <v>0.75045839518030211</v>
      </c>
      <c r="BA196" s="125">
        <f t="shared" si="89"/>
        <v>0.91123650953719393</v>
      </c>
      <c r="BB196" s="125">
        <f t="shared" si="103"/>
        <v>0.73462071963908238</v>
      </c>
      <c r="BC196" s="14">
        <f t="shared" si="96"/>
        <v>276849.53424657532</v>
      </c>
      <c r="BD196" s="14">
        <f t="shared" si="97"/>
        <v>127410</v>
      </c>
      <c r="BE196" s="14">
        <f t="shared" si="98"/>
        <v>149439.53424657535</v>
      </c>
      <c r="BF196" s="14">
        <v>31</v>
      </c>
      <c r="BG196" s="14"/>
      <c r="BH196" s="179">
        <f t="shared" si="91"/>
        <v>0</v>
      </c>
      <c r="BI196" s="179">
        <f t="shared" si="92"/>
        <v>0</v>
      </c>
      <c r="BJ196" s="259">
        <f t="shared" si="99"/>
        <v>1</v>
      </c>
      <c r="BK196" s="14">
        <f t="shared" si="93"/>
        <v>288436.12699999998</v>
      </c>
      <c r="BL196" s="14">
        <f t="shared" si="100"/>
        <v>168523</v>
      </c>
      <c r="BM196" s="14">
        <f t="shared" si="101"/>
        <v>58.426453632141587</v>
      </c>
    </row>
    <row r="197" spans="1:65" x14ac:dyDescent="0.2">
      <c r="A197" s="135">
        <v>44570</v>
      </c>
      <c r="B197" s="5">
        <v>302976</v>
      </c>
      <c r="C197" s="130">
        <v>5045</v>
      </c>
      <c r="D197" s="14">
        <v>15.84</v>
      </c>
      <c r="E197" s="130">
        <v>18823</v>
      </c>
      <c r="F197" s="186">
        <v>5.0099999999999999E-2</v>
      </c>
      <c r="G197" s="165">
        <f t="shared" si="80"/>
        <v>3728</v>
      </c>
      <c r="H197" s="208">
        <v>1126</v>
      </c>
      <c r="I197" s="198">
        <v>2602</v>
      </c>
      <c r="J197" s="216"/>
      <c r="K197" s="216"/>
      <c r="L197" s="216"/>
      <c r="M197" s="130">
        <v>75146</v>
      </c>
      <c r="N197" s="144">
        <v>68404</v>
      </c>
      <c r="O197" s="14">
        <v>0</v>
      </c>
      <c r="P197" s="213">
        <f t="shared" si="94"/>
        <v>8389.5549999999985</v>
      </c>
      <c r="Q197" s="180">
        <v>2514</v>
      </c>
      <c r="R197" s="180">
        <v>0</v>
      </c>
      <c r="S197" s="180">
        <v>539.48599999999999</v>
      </c>
      <c r="T197" s="159">
        <v>3988.68</v>
      </c>
      <c r="U197" s="159">
        <v>1347.3889999999999</v>
      </c>
      <c r="V197" s="5">
        <v>165623</v>
      </c>
      <c r="W197" s="194">
        <v>0</v>
      </c>
      <c r="X197" s="194">
        <v>0</v>
      </c>
      <c r="Y197" s="194">
        <v>1326</v>
      </c>
      <c r="Z197" s="194">
        <v>2286</v>
      </c>
      <c r="AA197" s="194">
        <v>2206</v>
      </c>
      <c r="AB197" s="194"/>
      <c r="AC197" s="187">
        <v>0</v>
      </c>
      <c r="AD197" s="188">
        <v>0</v>
      </c>
      <c r="AE197" s="213">
        <f t="shared" si="102"/>
        <v>5818</v>
      </c>
      <c r="AF197" s="5">
        <v>92483</v>
      </c>
      <c r="AK197" s="233"/>
      <c r="AO197" s="15">
        <v>54797</v>
      </c>
      <c r="AP197" s="125">
        <f t="shared" si="86"/>
        <v>0.1808625105618927</v>
      </c>
      <c r="AQ197" s="125">
        <v>1.619193458</v>
      </c>
      <c r="AR197" s="159">
        <v>53101</v>
      </c>
      <c r="AS197" s="159">
        <v>16541</v>
      </c>
      <c r="AT197" s="159"/>
      <c r="AU197" s="101">
        <v>45583</v>
      </c>
      <c r="AV197" s="125">
        <f t="shared" si="79"/>
        <v>0.53299784471377265</v>
      </c>
      <c r="AW197" s="125">
        <f t="shared" ref="AW197:AW241" si="104">(M197+N197+G197)/B197</f>
        <v>0.48610450992817911</v>
      </c>
      <c r="AX197" s="125">
        <f t="shared" si="95"/>
        <v>4.6893334785593543E-2</v>
      </c>
      <c r="AY197" s="125">
        <f t="shared" si="87"/>
        <v>0.91376721009774808</v>
      </c>
      <c r="AZ197" s="125">
        <f t="shared" si="88"/>
        <v>0.66696702049007184</v>
      </c>
      <c r="BA197" s="125">
        <f t="shared" si="89"/>
        <v>0.76927721391352655</v>
      </c>
      <c r="BB197" s="125">
        <f t="shared" si="103"/>
        <v>1.0687917712401953</v>
      </c>
      <c r="BC197" s="14">
        <f t="shared" si="96"/>
        <v>276849.53424657532</v>
      </c>
      <c r="BD197" s="14">
        <f t="shared" si="97"/>
        <v>127410</v>
      </c>
      <c r="BE197" s="14">
        <f t="shared" si="98"/>
        <v>149439.53424657535</v>
      </c>
      <c r="BF197" s="14">
        <v>31</v>
      </c>
      <c r="BG197" s="14"/>
      <c r="BH197" s="179">
        <f t="shared" si="91"/>
        <v>0</v>
      </c>
      <c r="BI197" s="179">
        <f t="shared" si="92"/>
        <v>0</v>
      </c>
      <c r="BJ197" s="259">
        <f t="shared" si="99"/>
        <v>1</v>
      </c>
      <c r="BK197" s="14">
        <f t="shared" si="93"/>
        <v>285924.55499999999</v>
      </c>
      <c r="BL197" s="14">
        <f t="shared" si="100"/>
        <v>124439</v>
      </c>
      <c r="BM197" s="14">
        <f t="shared" si="101"/>
        <v>43.521620589739136</v>
      </c>
    </row>
    <row r="198" spans="1:65" x14ac:dyDescent="0.2">
      <c r="A198" s="135">
        <v>44602</v>
      </c>
      <c r="B198" s="5">
        <v>264089</v>
      </c>
      <c r="C198" s="130">
        <v>4689</v>
      </c>
      <c r="D198" s="14">
        <v>14.18</v>
      </c>
      <c r="E198" s="130">
        <v>13513</v>
      </c>
      <c r="F198" s="186">
        <v>5.1499999999999997E-2</v>
      </c>
      <c r="G198" s="165">
        <f t="shared" si="80"/>
        <v>2928</v>
      </c>
      <c r="H198" s="208">
        <v>760</v>
      </c>
      <c r="I198" s="198">
        <v>2168</v>
      </c>
      <c r="J198" s="216"/>
      <c r="K198" s="216"/>
      <c r="L198" s="216"/>
      <c r="M198" s="130">
        <v>72918</v>
      </c>
      <c r="N198" s="144">
        <v>61034</v>
      </c>
      <c r="O198" s="14">
        <v>0</v>
      </c>
      <c r="P198" s="213">
        <f t="shared" si="94"/>
        <v>7971.58</v>
      </c>
      <c r="Q198" s="180">
        <v>2424.54</v>
      </c>
      <c r="R198" s="180">
        <v>0</v>
      </c>
      <c r="S198" s="180">
        <v>3.04</v>
      </c>
      <c r="T198" s="159">
        <v>4533</v>
      </c>
      <c r="U198" s="159">
        <v>1011</v>
      </c>
      <c r="V198" s="5">
        <v>200503</v>
      </c>
      <c r="W198" s="194">
        <v>0</v>
      </c>
      <c r="X198" s="194">
        <v>0</v>
      </c>
      <c r="Y198" s="194">
        <v>1236</v>
      </c>
      <c r="Z198" s="194">
        <v>2470</v>
      </c>
      <c r="AA198" s="194">
        <v>2314</v>
      </c>
      <c r="AB198" s="194"/>
      <c r="AC198" s="187">
        <v>0</v>
      </c>
      <c r="AD198" s="188">
        <v>0</v>
      </c>
      <c r="AE198" s="213">
        <f t="shared" si="102"/>
        <v>6020</v>
      </c>
      <c r="AF198" s="5">
        <v>116559</v>
      </c>
      <c r="AK198" s="233"/>
      <c r="AO198" s="15">
        <v>62860</v>
      </c>
      <c r="AP198" s="125">
        <f t="shared" si="86"/>
        <v>0.2380258170540992</v>
      </c>
      <c r="AQ198" s="125">
        <v>1.5162500000000001</v>
      </c>
      <c r="AR198" s="159">
        <v>50539</v>
      </c>
      <c r="AS198" s="159">
        <v>17859</v>
      </c>
      <c r="AT198" s="159"/>
      <c r="AU198" s="101">
        <v>45583</v>
      </c>
      <c r="AV198" s="125">
        <f t="shared" si="79"/>
        <v>0.57129066337484702</v>
      </c>
      <c r="AW198" s="125">
        <f t="shared" si="104"/>
        <v>0.51831011515057424</v>
      </c>
      <c r="AX198" s="125">
        <f t="shared" si="95"/>
        <v>5.2980548224272783E-2</v>
      </c>
      <c r="AY198" s="125">
        <f t="shared" si="87"/>
        <v>0.94686883526241705</v>
      </c>
      <c r="AZ198" s="125">
        <f t="shared" si="88"/>
        <v>0.75633593220467343</v>
      </c>
      <c r="BA198" s="125">
        <f t="shared" si="89"/>
        <v>0.57395649940399895</v>
      </c>
      <c r="BB198" s="125">
        <f t="shared" si="103"/>
        <v>0.90228732873197171</v>
      </c>
      <c r="BC198" s="14">
        <f t="shared" si="96"/>
        <v>250057.64383561644</v>
      </c>
      <c r="BD198" s="14">
        <f t="shared" si="97"/>
        <v>115080</v>
      </c>
      <c r="BE198" s="14">
        <f t="shared" si="98"/>
        <v>134977.64383561644</v>
      </c>
      <c r="BF198" s="14">
        <v>28</v>
      </c>
      <c r="BG198" s="14"/>
      <c r="BH198" s="179">
        <f t="shared" si="91"/>
        <v>0</v>
      </c>
      <c r="BI198" s="179">
        <f t="shared" si="92"/>
        <v>0</v>
      </c>
      <c r="BJ198" s="259">
        <f t="shared" si="99"/>
        <v>1</v>
      </c>
      <c r="BK198" s="14">
        <f t="shared" si="93"/>
        <v>282129.57999999996</v>
      </c>
      <c r="BL198" s="14">
        <f t="shared" si="100"/>
        <v>131258</v>
      </c>
      <c r="BM198" s="14">
        <f t="shared" si="101"/>
        <v>46.524012122372994</v>
      </c>
    </row>
    <row r="199" spans="1:65" x14ac:dyDescent="0.2">
      <c r="A199" s="135">
        <v>44631</v>
      </c>
      <c r="B199" s="5">
        <v>291880</v>
      </c>
      <c r="C199" s="130">
        <v>5647</v>
      </c>
      <c r="D199" s="14">
        <v>14.49</v>
      </c>
      <c r="E199" s="130">
        <v>17464</v>
      </c>
      <c r="F199" s="186">
        <v>5.2200000000000003E-2</v>
      </c>
      <c r="G199" s="165">
        <f t="shared" si="80"/>
        <v>2715</v>
      </c>
      <c r="H199" s="208">
        <v>808</v>
      </c>
      <c r="I199" s="198">
        <v>1907</v>
      </c>
      <c r="J199" s="216"/>
      <c r="K199" s="216"/>
      <c r="L199" s="216"/>
      <c r="M199" s="130">
        <v>52808</v>
      </c>
      <c r="N199" s="144">
        <v>57820</v>
      </c>
      <c r="O199" s="14">
        <v>0</v>
      </c>
      <c r="P199" s="213">
        <f t="shared" si="94"/>
        <v>7340.3459999999995</v>
      </c>
      <c r="Q199" s="180">
        <v>2576.06</v>
      </c>
      <c r="R199" s="180">
        <v>0</v>
      </c>
      <c r="S199" s="180">
        <v>0</v>
      </c>
      <c r="T199" s="159">
        <v>4632</v>
      </c>
      <c r="U199" s="159">
        <v>132.286</v>
      </c>
      <c r="V199" s="5">
        <v>179448</v>
      </c>
      <c r="W199" s="194">
        <v>0</v>
      </c>
      <c r="X199" s="194">
        <v>0</v>
      </c>
      <c r="Y199" s="194">
        <v>3437</v>
      </c>
      <c r="Z199" s="194">
        <v>2429</v>
      </c>
      <c r="AA199" s="194">
        <v>2407</v>
      </c>
      <c r="AB199" s="194"/>
      <c r="AC199" s="187">
        <v>0</v>
      </c>
      <c r="AD199" s="188">
        <v>0</v>
      </c>
      <c r="AE199" s="213">
        <f t="shared" si="102"/>
        <v>8273</v>
      </c>
      <c r="AF199" s="5">
        <v>114357</v>
      </c>
      <c r="AK199" s="233"/>
      <c r="AO199" s="15">
        <v>138574</v>
      </c>
      <c r="AP199" s="125">
        <f t="shared" si="86"/>
        <v>0.4747636014800603</v>
      </c>
      <c r="AQ199" s="125">
        <v>2.6514516129999999</v>
      </c>
      <c r="AR199" s="159">
        <v>52325</v>
      </c>
      <c r="AS199" s="159">
        <v>23108</v>
      </c>
      <c r="AT199" s="159"/>
      <c r="AU199" s="101">
        <v>45583</v>
      </c>
      <c r="AV199" s="125">
        <f t="shared" si="79"/>
        <v>0.441812888858435</v>
      </c>
      <c r="AW199" s="125">
        <f t="shared" si="104"/>
        <v>0.38832054268877619</v>
      </c>
      <c r="AX199" s="125">
        <f t="shared" si="95"/>
        <v>5.3492346169658811E-2</v>
      </c>
      <c r="AY199" s="125">
        <f t="shared" si="87"/>
        <v>0.94850463973747878</v>
      </c>
      <c r="AZ199" s="125">
        <f t="shared" si="88"/>
        <v>0.8630841441688365</v>
      </c>
      <c r="BA199" s="125">
        <f t="shared" si="89"/>
        <v>0.71001069947840045</v>
      </c>
      <c r="BB199" s="125">
        <f t="shared" si="103"/>
        <v>0.67319513341753712</v>
      </c>
      <c r="BC199" s="14">
        <f t="shared" si="96"/>
        <v>276849.53424657532</v>
      </c>
      <c r="BD199" s="14">
        <f t="shared" si="97"/>
        <v>127410</v>
      </c>
      <c r="BE199" s="14">
        <f t="shared" si="98"/>
        <v>149439.53424657535</v>
      </c>
      <c r="BF199" s="14">
        <v>31</v>
      </c>
      <c r="BG199" s="14"/>
      <c r="BH199" s="179">
        <f t="shared" si="91"/>
        <v>0</v>
      </c>
      <c r="BI199" s="179">
        <f t="shared" si="92"/>
        <v>0</v>
      </c>
      <c r="BJ199" s="259">
        <f t="shared" si="99"/>
        <v>1</v>
      </c>
      <c r="BK199" s="14">
        <f t="shared" si="93"/>
        <v>342963.34600000002</v>
      </c>
      <c r="BL199" s="14">
        <f t="shared" si="100"/>
        <v>214007</v>
      </c>
      <c r="BM199" s="14">
        <f t="shared" si="101"/>
        <v>62.399379553522316</v>
      </c>
    </row>
    <row r="200" spans="1:65" x14ac:dyDescent="0.2">
      <c r="A200" s="135">
        <v>44663</v>
      </c>
      <c r="B200" s="5">
        <v>289278</v>
      </c>
      <c r="C200" s="130">
        <v>5429</v>
      </c>
      <c r="D200" s="14">
        <v>14.98</v>
      </c>
      <c r="E200" s="130">
        <v>14338</v>
      </c>
      <c r="F200" s="186">
        <v>5.5800000000000002E-2</v>
      </c>
      <c r="G200" s="165">
        <f t="shared" si="80"/>
        <v>2828</v>
      </c>
      <c r="H200" s="208">
        <v>732</v>
      </c>
      <c r="I200" s="198">
        <v>2096</v>
      </c>
      <c r="J200" s="216"/>
      <c r="K200" s="216"/>
      <c r="L200" s="216"/>
      <c r="M200" s="130">
        <v>6054</v>
      </c>
      <c r="N200" s="144">
        <v>7659</v>
      </c>
      <c r="O200" s="14">
        <v>0</v>
      </c>
      <c r="P200" s="213">
        <f t="shared" si="94"/>
        <v>8270.1839999999993</v>
      </c>
      <c r="Q200" s="180">
        <v>2264.19</v>
      </c>
      <c r="R200" s="180">
        <v>0</v>
      </c>
      <c r="S200" s="180">
        <v>0</v>
      </c>
      <c r="T200" s="159">
        <v>4625.53</v>
      </c>
      <c r="U200" s="159">
        <v>1380.4639999999999</v>
      </c>
      <c r="V200" s="5">
        <v>176654</v>
      </c>
      <c r="W200" s="194">
        <v>0</v>
      </c>
      <c r="X200" s="194">
        <v>0</v>
      </c>
      <c r="Y200" s="194">
        <v>0</v>
      </c>
      <c r="Z200" s="194">
        <v>2151</v>
      </c>
      <c r="AA200" s="194">
        <v>2714</v>
      </c>
      <c r="AB200" s="194"/>
      <c r="AC200" s="187">
        <v>0</v>
      </c>
      <c r="AD200" s="188">
        <v>0</v>
      </c>
      <c r="AE200" s="213">
        <f t="shared" si="102"/>
        <v>4865</v>
      </c>
      <c r="AF200" s="5">
        <v>107701</v>
      </c>
      <c r="AK200" s="233"/>
      <c r="AO200" s="15">
        <v>46115</v>
      </c>
      <c r="AP200" s="125">
        <f t="shared" si="86"/>
        <v>0.15941412758661219</v>
      </c>
      <c r="AQ200" s="125">
        <v>1.6060000000000001</v>
      </c>
      <c r="AR200" s="159">
        <v>59591</v>
      </c>
      <c r="AS200" s="159">
        <v>24025</v>
      </c>
      <c r="AT200" s="159"/>
      <c r="AU200" s="101">
        <v>45583</v>
      </c>
      <c r="AV200" s="125">
        <f t="shared" si="79"/>
        <v>0.10258707540843065</v>
      </c>
      <c r="AW200" s="125">
        <f t="shared" si="104"/>
        <v>5.7180290239838491E-2</v>
      </c>
      <c r="AX200" s="125">
        <f t="shared" si="95"/>
        <v>4.5406785168592159E-2</v>
      </c>
      <c r="AY200" s="125">
        <f t="shared" si="87"/>
        <v>0.92616411932324294</v>
      </c>
      <c r="AZ200" s="125">
        <f t="shared" si="88"/>
        <v>0.21659441782645067</v>
      </c>
      <c r="BA200" s="125">
        <f t="shared" si="89"/>
        <v>0.69797457176174893</v>
      </c>
      <c r="BB200" s="125">
        <f t="shared" si="103"/>
        <v>0.83277347335481777</v>
      </c>
      <c r="BC200" s="14">
        <f t="shared" si="96"/>
        <v>267918.90410958906</v>
      </c>
      <c r="BD200" s="14">
        <f t="shared" si="97"/>
        <v>123300</v>
      </c>
      <c r="BE200" s="14">
        <f t="shared" si="98"/>
        <v>144618.90410958903</v>
      </c>
      <c r="BF200" s="14">
        <v>30</v>
      </c>
      <c r="BG200" s="14"/>
      <c r="BH200" s="179">
        <f t="shared" si="91"/>
        <v>0</v>
      </c>
      <c r="BI200" s="179">
        <f t="shared" si="92"/>
        <v>0</v>
      </c>
      <c r="BJ200" s="259">
        <f t="shared" si="99"/>
        <v>1</v>
      </c>
      <c r="BK200" s="14">
        <f t="shared" si="93"/>
        <v>159407.18400000001</v>
      </c>
      <c r="BL200" s="14">
        <f t="shared" si="100"/>
        <v>129731</v>
      </c>
      <c r="BM200" s="14">
        <f t="shared" si="101"/>
        <v>81.383408667453779</v>
      </c>
    </row>
    <row r="201" spans="1:65" x14ac:dyDescent="0.2">
      <c r="A201" s="135">
        <v>44694</v>
      </c>
      <c r="B201" s="5">
        <v>330430</v>
      </c>
      <c r="C201" s="130">
        <v>6066</v>
      </c>
      <c r="D201" s="14">
        <v>15.63</v>
      </c>
      <c r="E201" s="130">
        <v>24081</v>
      </c>
      <c r="F201" s="186">
        <v>5.57E-2</v>
      </c>
      <c r="G201" s="165">
        <f t="shared" si="80"/>
        <v>2798</v>
      </c>
      <c r="H201" s="208">
        <v>2717</v>
      </c>
      <c r="I201" s="198">
        <v>81</v>
      </c>
      <c r="J201" s="216"/>
      <c r="K201" s="216"/>
      <c r="L201" s="216"/>
      <c r="M201" s="130">
        <v>4708</v>
      </c>
      <c r="N201" s="144">
        <v>11163</v>
      </c>
      <c r="O201" s="14">
        <v>0</v>
      </c>
      <c r="P201" s="213">
        <f t="shared" si="94"/>
        <v>12510.1836</v>
      </c>
      <c r="Q201" s="180">
        <v>511.46</v>
      </c>
      <c r="R201" s="180">
        <v>0</v>
      </c>
      <c r="S201" s="180">
        <v>0</v>
      </c>
      <c r="T201" s="159">
        <v>4527.59</v>
      </c>
      <c r="U201" s="159">
        <v>7471.1336000000001</v>
      </c>
      <c r="V201" s="5">
        <v>226949</v>
      </c>
      <c r="W201" s="194">
        <v>0</v>
      </c>
      <c r="X201" s="194">
        <v>0</v>
      </c>
      <c r="Y201" s="194">
        <v>0</v>
      </c>
      <c r="Z201" s="194">
        <v>1190</v>
      </c>
      <c r="AA201" s="194">
        <v>2684</v>
      </c>
      <c r="AB201" s="194"/>
      <c r="AC201" s="187">
        <v>0</v>
      </c>
      <c r="AD201" s="188">
        <v>0</v>
      </c>
      <c r="AE201" s="213">
        <f t="shared" si="102"/>
        <v>3874</v>
      </c>
      <c r="AF201" s="5">
        <v>126688</v>
      </c>
      <c r="AK201" s="233"/>
      <c r="AO201" s="15">
        <v>68420</v>
      </c>
      <c r="AP201" s="125">
        <f t="shared" si="86"/>
        <v>0.20706352328783706</v>
      </c>
      <c r="AQ201" s="125">
        <v>1.69557377</v>
      </c>
      <c r="AR201" s="159">
        <v>67536</v>
      </c>
      <c r="AS201" s="159">
        <v>20853</v>
      </c>
      <c r="AT201" s="159"/>
      <c r="AU201" s="101">
        <v>45583</v>
      </c>
      <c r="AV201" s="125">
        <f t="shared" si="79"/>
        <v>0.10608353841963503</v>
      </c>
      <c r="AW201" s="125">
        <f t="shared" si="104"/>
        <v>5.6499107223920347E-2</v>
      </c>
      <c r="AX201" s="125">
        <f t="shared" si="95"/>
        <v>4.9584431195714679E-2</v>
      </c>
      <c r="AY201" s="125">
        <f t="shared" si="87"/>
        <v>0.83784624352079207</v>
      </c>
      <c r="AZ201" s="125">
        <f t="shared" si="88"/>
        <v>0.26356263051175743</v>
      </c>
      <c r="BA201" s="125">
        <f t="shared" si="89"/>
        <v>0.56140366337811576</v>
      </c>
      <c r="BB201" s="125">
        <f t="shared" si="103"/>
        <v>0.81865626654131252</v>
      </c>
      <c r="BC201" s="14">
        <f t="shared" si="96"/>
        <v>276849.53424657532</v>
      </c>
      <c r="BD201" s="14">
        <f t="shared" si="97"/>
        <v>127410</v>
      </c>
      <c r="BE201" s="14">
        <f t="shared" si="98"/>
        <v>149439.53424657535</v>
      </c>
      <c r="BF201" s="14">
        <v>31</v>
      </c>
      <c r="BG201" s="14"/>
      <c r="BH201" s="179">
        <f t="shared" si="91"/>
        <v>0</v>
      </c>
      <c r="BI201" s="179">
        <f t="shared" si="92"/>
        <v>0</v>
      </c>
      <c r="BJ201" s="259">
        <f t="shared" si="99"/>
        <v>1</v>
      </c>
      <c r="BK201" s="14">
        <f t="shared" si="93"/>
        <v>191862.18359999999</v>
      </c>
      <c r="BL201" s="14">
        <f t="shared" si="100"/>
        <v>156809</v>
      </c>
      <c r="BM201" s="14">
        <f t="shared" si="101"/>
        <v>81.730019463825187</v>
      </c>
    </row>
    <row r="202" spans="1:65" x14ac:dyDescent="0.2">
      <c r="A202" s="135">
        <v>44726</v>
      </c>
      <c r="B202" s="5">
        <v>305139</v>
      </c>
      <c r="C202" s="130">
        <v>5954</v>
      </c>
      <c r="D202" s="14">
        <v>16.149999999999999</v>
      </c>
      <c r="E202" s="130">
        <v>19422</v>
      </c>
      <c r="F202" s="186">
        <v>5.62E-2</v>
      </c>
      <c r="G202" s="165">
        <f t="shared" si="80"/>
        <v>4609</v>
      </c>
      <c r="H202" s="208">
        <v>2157</v>
      </c>
      <c r="I202" s="198">
        <v>2452</v>
      </c>
      <c r="J202" s="216"/>
      <c r="K202" s="216"/>
      <c r="L202" s="216"/>
      <c r="M202" s="130">
        <v>0</v>
      </c>
      <c r="N202" s="144">
        <v>21283</v>
      </c>
      <c r="O202" s="14">
        <v>0</v>
      </c>
      <c r="P202" s="213">
        <f t="shared" si="94"/>
        <v>7281.777</v>
      </c>
      <c r="Q202" s="180">
        <v>0</v>
      </c>
      <c r="R202" s="180">
        <v>0</v>
      </c>
      <c r="S202" s="180">
        <v>0</v>
      </c>
      <c r="T202" s="159">
        <v>4457.6000000000004</v>
      </c>
      <c r="U202" s="159">
        <v>2824.1770000000001</v>
      </c>
      <c r="V202" s="5">
        <v>207257</v>
      </c>
      <c r="W202" s="194">
        <v>0</v>
      </c>
      <c r="X202" s="194">
        <v>0</v>
      </c>
      <c r="Y202" s="194">
        <v>1406</v>
      </c>
      <c r="Z202" s="194">
        <v>1852</v>
      </c>
      <c r="AA202" s="194">
        <v>2206</v>
      </c>
      <c r="AB202" s="194"/>
      <c r="AC202" s="187">
        <v>0</v>
      </c>
      <c r="AD202" s="188">
        <v>0</v>
      </c>
      <c r="AE202" s="213">
        <f t="shared" si="102"/>
        <v>5464</v>
      </c>
      <c r="AF202" s="5">
        <v>129577</v>
      </c>
      <c r="AG202" s="5">
        <v>129577</v>
      </c>
      <c r="AH202" s="5">
        <v>129577</v>
      </c>
      <c r="AI202" s="5">
        <v>129577</v>
      </c>
      <c r="AJ202" s="218">
        <v>129577</v>
      </c>
      <c r="AK202" s="233"/>
      <c r="AL202" s="228"/>
      <c r="AM202" s="5"/>
      <c r="AN202" s="5"/>
      <c r="AO202" s="15">
        <v>255934</v>
      </c>
      <c r="AP202" s="125">
        <f t="shared" si="86"/>
        <v>0.83874562084820359</v>
      </c>
      <c r="AQ202" s="125">
        <v>1.6353333329999999</v>
      </c>
      <c r="AR202" s="159">
        <v>54565</v>
      </c>
      <c r="AS202" s="159">
        <v>23074</v>
      </c>
      <c r="AT202" s="159"/>
      <c r="AU202" s="101">
        <v>45583</v>
      </c>
      <c r="AV202" s="125">
        <f t="shared" si="79"/>
        <v>0.12662352894910189</v>
      </c>
      <c r="AW202" s="125">
        <f t="shared" si="104"/>
        <v>8.485313250682476E-2</v>
      </c>
      <c r="AX202" s="125">
        <f t="shared" si="95"/>
        <v>4.1770396442277133E-2</v>
      </c>
      <c r="AY202" s="125">
        <f t="shared" si="87"/>
        <v>0.87802248847111986</v>
      </c>
      <c r="AZ202" s="125">
        <f t="shared" si="88"/>
        <v>0.92359875335502839</v>
      </c>
      <c r="BA202" s="125">
        <f t="shared" si="89"/>
        <v>0.59491356142373963</v>
      </c>
      <c r="BB202" s="125">
        <f t="shared" si="103"/>
        <v>0.65847187802799456</v>
      </c>
      <c r="BC202" s="14">
        <f t="shared" si="96"/>
        <v>267918.90410958906</v>
      </c>
      <c r="BD202" s="14">
        <f t="shared" si="97"/>
        <v>123300</v>
      </c>
      <c r="BE202" s="14">
        <f t="shared" si="98"/>
        <v>144618.90410958903</v>
      </c>
      <c r="BF202" s="14">
        <v>30</v>
      </c>
      <c r="BG202" s="14"/>
      <c r="BH202" s="179">
        <f t="shared" si="91"/>
        <v>0</v>
      </c>
      <c r="BI202" s="179">
        <f t="shared" si="92"/>
        <v>0</v>
      </c>
      <c r="BJ202" s="259">
        <f t="shared" si="99"/>
        <v>1</v>
      </c>
      <c r="BK202" s="14">
        <f t="shared" si="93"/>
        <v>372210.777</v>
      </c>
      <c r="BL202" s="14">
        <f t="shared" si="100"/>
        <v>333573</v>
      </c>
      <c r="BM202" s="14">
        <f t="shared" si="101"/>
        <v>89.619382514547667</v>
      </c>
    </row>
    <row r="203" spans="1:65" x14ac:dyDescent="0.2">
      <c r="A203" s="135">
        <v>44757</v>
      </c>
      <c r="B203" s="5">
        <v>297134</v>
      </c>
      <c r="C203" s="130">
        <v>6356</v>
      </c>
      <c r="D203" s="14">
        <v>14.2</v>
      </c>
      <c r="E203" s="130">
        <v>21030</v>
      </c>
      <c r="F203" s="186">
        <v>5.3100000000000001E-2</v>
      </c>
      <c r="G203" s="165">
        <f>H203+I203</f>
        <v>4250</v>
      </c>
      <c r="H203" s="208">
        <v>2025</v>
      </c>
      <c r="I203" s="198">
        <v>2225</v>
      </c>
      <c r="J203" s="216"/>
      <c r="K203" s="216"/>
      <c r="L203" s="216"/>
      <c r="M203" s="130">
        <v>0</v>
      </c>
      <c r="N203" s="144">
        <v>8005</v>
      </c>
      <c r="O203" s="14">
        <v>0</v>
      </c>
      <c r="P203" s="213">
        <f t="shared" si="94"/>
        <v>7683.4660000000003</v>
      </c>
      <c r="Q203" s="180">
        <v>0</v>
      </c>
      <c r="R203" s="180">
        <v>0</v>
      </c>
      <c r="S203" s="180">
        <v>0</v>
      </c>
      <c r="T203" s="159">
        <v>4613.53</v>
      </c>
      <c r="U203" s="159">
        <v>3069.9360000000001</v>
      </c>
      <c r="V203" s="5">
        <v>182481</v>
      </c>
      <c r="W203" s="194">
        <v>0</v>
      </c>
      <c r="X203" s="194">
        <v>0</v>
      </c>
      <c r="Y203" s="194">
        <v>1425</v>
      </c>
      <c r="Z203" s="194">
        <v>2652</v>
      </c>
      <c r="AA203" s="194">
        <v>3012</v>
      </c>
      <c r="AB203" s="194"/>
      <c r="AC203" s="187">
        <v>0</v>
      </c>
      <c r="AD203" s="188">
        <v>0</v>
      </c>
      <c r="AE203" s="213">
        <f t="shared" si="102"/>
        <v>7089</v>
      </c>
      <c r="AF203" s="5">
        <v>116515</v>
      </c>
      <c r="AK203" s="233"/>
      <c r="AL203" s="170"/>
      <c r="AM203" s="14"/>
      <c r="AN203" s="14"/>
      <c r="AO203" s="15">
        <v>297388</v>
      </c>
      <c r="AP203" s="125">
        <f t="shared" si="86"/>
        <v>1.0008548331729119</v>
      </c>
      <c r="AQ203" s="125">
        <v>1.604354839</v>
      </c>
      <c r="AR203" s="159">
        <v>52494</v>
      </c>
      <c r="AS203" s="159">
        <v>22768</v>
      </c>
      <c r="AT203" s="159"/>
      <c r="AU203" s="101">
        <v>45583</v>
      </c>
      <c r="AV203" s="125">
        <f t="shared" si="79"/>
        <v>9.0960529592709019E-2</v>
      </c>
      <c r="AW203" s="125">
        <f t="shared" si="104"/>
        <v>4.1244017850532083E-2</v>
      </c>
      <c r="AX203" s="125">
        <f t="shared" si="95"/>
        <v>4.9716511742176936E-2</v>
      </c>
      <c r="AY203" s="125">
        <f t="shared" si="87"/>
        <v>0.93173293613849417</v>
      </c>
      <c r="AZ203" s="125">
        <f t="shared" si="88"/>
        <v>1.0420988510234439</v>
      </c>
      <c r="BA203" s="125">
        <f t="shared" si="89"/>
        <v>0.69820967662386768</v>
      </c>
      <c r="BB203" s="125">
        <f t="shared" si="103"/>
        <v>0.69777572824845013</v>
      </c>
      <c r="BC203" s="14">
        <f t="shared" si="96"/>
        <v>276849.53424657532</v>
      </c>
      <c r="BD203" s="14">
        <f t="shared" si="97"/>
        <v>127410</v>
      </c>
      <c r="BE203" s="14">
        <f t="shared" si="98"/>
        <v>149439.53424657535</v>
      </c>
      <c r="BF203" s="14">
        <v>31</v>
      </c>
      <c r="BG203" s="14"/>
      <c r="BH203" s="179">
        <f t="shared" si="91"/>
        <v>0</v>
      </c>
      <c r="BI203" s="179">
        <f t="shared" si="92"/>
        <v>0</v>
      </c>
      <c r="BJ203" s="259">
        <f t="shared" si="99"/>
        <v>1</v>
      </c>
      <c r="BK203" s="14">
        <f t="shared" si="93"/>
        <v>399677.46600000001</v>
      </c>
      <c r="BL203" s="14">
        <f t="shared" si="100"/>
        <v>372650</v>
      </c>
      <c r="BM203" s="14">
        <f t="shared" si="101"/>
        <v>93.237680805352184</v>
      </c>
    </row>
    <row r="204" spans="1:65" x14ac:dyDescent="0.2">
      <c r="A204" s="135">
        <v>44789</v>
      </c>
      <c r="B204" s="5">
        <v>316334</v>
      </c>
      <c r="C204" s="130">
        <v>6264</v>
      </c>
      <c r="D204" s="14">
        <v>14.73</v>
      </c>
      <c r="E204" s="130">
        <v>21147</v>
      </c>
      <c r="F204" s="186">
        <v>5.9299999999999999E-2</v>
      </c>
      <c r="G204" s="165">
        <f t="shared" si="80"/>
        <v>4607</v>
      </c>
      <c r="H204" s="208">
        <v>1646</v>
      </c>
      <c r="I204" s="198">
        <v>2961</v>
      </c>
      <c r="J204" s="216"/>
      <c r="K204" s="216"/>
      <c r="L204" s="216"/>
      <c r="M204" s="130">
        <v>466</v>
      </c>
      <c r="N204" s="144">
        <v>5458</v>
      </c>
      <c r="O204" s="14">
        <v>0</v>
      </c>
      <c r="P204" s="213">
        <f t="shared" si="94"/>
        <v>5471.4400000000005</v>
      </c>
      <c r="Q204" s="180">
        <v>0</v>
      </c>
      <c r="R204" s="180">
        <v>0</v>
      </c>
      <c r="S204" s="180">
        <v>0</v>
      </c>
      <c r="T204" s="159">
        <v>4679.3500000000004</v>
      </c>
      <c r="U204" s="159">
        <v>792.09</v>
      </c>
      <c r="V204" s="5">
        <v>216488</v>
      </c>
      <c r="W204" s="194">
        <v>0</v>
      </c>
      <c r="X204" s="194">
        <v>0</v>
      </c>
      <c r="Y204" s="194">
        <v>1307</v>
      </c>
      <c r="Z204" s="194">
        <v>2483</v>
      </c>
      <c r="AA204" s="194">
        <v>3279</v>
      </c>
      <c r="AB204" s="194"/>
      <c r="AC204" s="187">
        <v>0</v>
      </c>
      <c r="AD204" s="188">
        <v>0</v>
      </c>
      <c r="AE204" s="213">
        <f t="shared" si="102"/>
        <v>7069</v>
      </c>
      <c r="AF204" s="5">
        <v>117387</v>
      </c>
      <c r="AK204" s="233"/>
      <c r="AL204" s="170"/>
      <c r="AM204" s="14"/>
      <c r="AN204" s="14"/>
      <c r="AO204" s="15">
        <v>233405</v>
      </c>
      <c r="AP204" s="125">
        <f t="shared" si="86"/>
        <v>0.73784354511370898</v>
      </c>
      <c r="AQ204" s="125">
        <v>1.5746774189999999</v>
      </c>
      <c r="AR204" s="159">
        <v>54643</v>
      </c>
      <c r="AS204" s="159">
        <v>21140</v>
      </c>
      <c r="AT204" s="159"/>
      <c r="AU204" s="101">
        <v>45583</v>
      </c>
      <c r="AV204" s="125">
        <f t="shared" si="79"/>
        <v>7.2933797821290169E-2</v>
      </c>
      <c r="AW204" s="125">
        <f t="shared" si="104"/>
        <v>3.3290762295548379E-2</v>
      </c>
      <c r="AX204" s="125">
        <f t="shared" si="95"/>
        <v>3.964303552574179E-2</v>
      </c>
      <c r="AY204" s="125">
        <f t="shared" si="87"/>
        <v>0.87518108785832482</v>
      </c>
      <c r="AZ204" s="125">
        <f t="shared" si="88"/>
        <v>0.77113430740925726</v>
      </c>
      <c r="BA204" s="125">
        <f t="shared" si="89"/>
        <v>0.58853146594730421</v>
      </c>
      <c r="BB204" s="125">
        <f t="shared" si="103"/>
        <v>0.81893202167116219</v>
      </c>
      <c r="BC204" s="14">
        <f t="shared" si="96"/>
        <v>276849.53424657532</v>
      </c>
      <c r="BD204" s="14">
        <f t="shared" si="97"/>
        <v>127410</v>
      </c>
      <c r="BE204" s="14">
        <f t="shared" si="98"/>
        <v>149439.53424657535</v>
      </c>
      <c r="BF204" s="14">
        <v>31</v>
      </c>
      <c r="BG204" s="14"/>
      <c r="BH204" s="179">
        <f t="shared" si="91"/>
        <v>0</v>
      </c>
      <c r="BI204" s="179">
        <f t="shared" si="92"/>
        <v>0</v>
      </c>
      <c r="BJ204" s="259">
        <f t="shared" si="99"/>
        <v>1</v>
      </c>
      <c r="BK204" s="14">
        <f t="shared" si="93"/>
        <v>332259.44</v>
      </c>
      <c r="BL204" s="14">
        <f t="shared" si="100"/>
        <v>309188</v>
      </c>
      <c r="BM204" s="14">
        <f t="shared" si="101"/>
        <v>93.056197289684235</v>
      </c>
    </row>
    <row r="205" spans="1:65" x14ac:dyDescent="0.2">
      <c r="A205" s="135">
        <v>44821</v>
      </c>
      <c r="B205" s="5">
        <v>319821</v>
      </c>
      <c r="C205" s="130">
        <v>6374</v>
      </c>
      <c r="D205" s="14">
        <v>15.4</v>
      </c>
      <c r="E205" s="130">
        <v>17945</v>
      </c>
      <c r="F205" s="186">
        <v>5.16E-2</v>
      </c>
      <c r="G205" s="165">
        <f t="shared" si="80"/>
        <v>3581</v>
      </c>
      <c r="H205" s="208">
        <v>620</v>
      </c>
      <c r="I205" s="198">
        <v>2961</v>
      </c>
      <c r="J205" s="216"/>
      <c r="K205" s="216"/>
      <c r="L205" s="216"/>
      <c r="M205" s="130">
        <v>41</v>
      </c>
      <c r="N205" s="144">
        <v>2961</v>
      </c>
      <c r="O205" s="14">
        <v>0</v>
      </c>
      <c r="P205" s="213">
        <f t="shared" si="94"/>
        <v>4685.6219999999994</v>
      </c>
      <c r="Q205" s="180">
        <v>0</v>
      </c>
      <c r="R205" s="180">
        <v>290.67500000000001</v>
      </c>
      <c r="S205" s="180">
        <v>951.63699999999994</v>
      </c>
      <c r="T205" s="159">
        <v>3443.31</v>
      </c>
      <c r="U205" s="159">
        <v>0</v>
      </c>
      <c r="V205" s="5">
        <v>209736</v>
      </c>
      <c r="W205" s="194">
        <v>0</v>
      </c>
      <c r="X205" s="194">
        <v>0</v>
      </c>
      <c r="Y205" s="194">
        <v>1104</v>
      </c>
      <c r="Z205" s="194">
        <v>500</v>
      </c>
      <c r="AA205" s="194">
        <v>2239</v>
      </c>
      <c r="AB205" s="194"/>
      <c r="AC205" s="187">
        <v>0</v>
      </c>
      <c r="AD205" s="188">
        <v>0</v>
      </c>
      <c r="AE205" s="213">
        <f t="shared" si="102"/>
        <v>3843</v>
      </c>
      <c r="AF205" s="5">
        <v>99551</v>
      </c>
      <c r="AK205" s="233"/>
      <c r="AL205" s="170"/>
      <c r="AM205" s="14"/>
      <c r="AN205" s="14"/>
      <c r="AO205" s="15">
        <v>245638</v>
      </c>
      <c r="AP205" s="125">
        <f t="shared" si="86"/>
        <v>0.76804837706091844</v>
      </c>
      <c r="AQ205" s="125">
        <v>1.627666667</v>
      </c>
      <c r="AR205" s="159">
        <v>56785</v>
      </c>
      <c r="AS205" s="159">
        <v>20466</v>
      </c>
      <c r="AT205" s="159"/>
      <c r="AU205" s="101">
        <v>45583</v>
      </c>
      <c r="AV205" s="125">
        <f t="shared" si="79"/>
        <v>4.7250249358234762E-2</v>
      </c>
      <c r="AW205" s="125">
        <f t="shared" si="104"/>
        <v>2.0583388833128533E-2</v>
      </c>
      <c r="AX205" s="125">
        <f t="shared" si="95"/>
        <v>2.666686052510623E-2</v>
      </c>
      <c r="AY205" s="125">
        <f t="shared" si="87"/>
        <v>0.83771517226695258</v>
      </c>
      <c r="AZ205" s="125">
        <f t="shared" si="88"/>
        <v>0.78863176589404693</v>
      </c>
      <c r="BA205" s="125">
        <f t="shared" si="89"/>
        <v>0.58788190868520429</v>
      </c>
      <c r="BB205" s="125">
        <f t="shared" si="103"/>
        <v>0.69029015117038983</v>
      </c>
      <c r="BC205" s="14">
        <f t="shared" si="96"/>
        <v>267918.90410958906</v>
      </c>
      <c r="BD205" s="14">
        <f t="shared" si="97"/>
        <v>123300</v>
      </c>
      <c r="BE205" s="14">
        <f t="shared" si="98"/>
        <v>144618.90410958903</v>
      </c>
      <c r="BF205" s="14">
        <v>30</v>
      </c>
      <c r="BG205" s="14"/>
      <c r="BH205" s="179">
        <f t="shared" si="91"/>
        <v>0</v>
      </c>
      <c r="BI205" s="179">
        <f t="shared" si="92"/>
        <v>0</v>
      </c>
      <c r="BJ205" s="259">
        <f t="shared" si="99"/>
        <v>1</v>
      </c>
      <c r="BK205" s="14">
        <f t="shared" si="93"/>
        <v>338000.62199999997</v>
      </c>
      <c r="BL205" s="14">
        <f t="shared" si="100"/>
        <v>322889</v>
      </c>
      <c r="BM205" s="14">
        <f t="shared" si="101"/>
        <v>95.529114144647949</v>
      </c>
    </row>
    <row r="206" spans="1:65" x14ac:dyDescent="0.2">
      <c r="A206" s="135">
        <v>44852</v>
      </c>
      <c r="B206" s="5">
        <v>284814</v>
      </c>
      <c r="C206" s="130">
        <v>6137</v>
      </c>
      <c r="D206" s="14">
        <v>15.08</v>
      </c>
      <c r="E206" s="130">
        <v>11606</v>
      </c>
      <c r="F206" s="186">
        <v>5.8599999999999999E-2</v>
      </c>
      <c r="G206" s="165">
        <f t="shared" si="80"/>
        <v>3370</v>
      </c>
      <c r="H206" s="208">
        <v>521</v>
      </c>
      <c r="I206" s="198">
        <v>2849</v>
      </c>
      <c r="J206" s="216"/>
      <c r="K206" s="216"/>
      <c r="L206" s="216"/>
      <c r="M206" s="130">
        <v>53744</v>
      </c>
      <c r="N206" s="144">
        <v>75819</v>
      </c>
      <c r="O206" s="14">
        <v>0</v>
      </c>
      <c r="P206" s="213">
        <f t="shared" si="94"/>
        <v>10461.862000000001</v>
      </c>
      <c r="Q206" s="180">
        <v>1069.297</v>
      </c>
      <c r="R206" s="180">
        <v>0</v>
      </c>
      <c r="S206" s="180">
        <v>436.875</v>
      </c>
      <c r="T206" s="159">
        <v>8927.4</v>
      </c>
      <c r="U206" s="159">
        <v>28.29</v>
      </c>
      <c r="V206" s="5">
        <v>200228</v>
      </c>
      <c r="W206" s="194">
        <v>0</v>
      </c>
      <c r="X206" s="194">
        <v>0</v>
      </c>
      <c r="Y206" s="194">
        <v>432</v>
      </c>
      <c r="Z206" s="194">
        <v>697</v>
      </c>
      <c r="AA206" s="194">
        <v>1570</v>
      </c>
      <c r="AB206" s="194"/>
      <c r="AC206" s="187">
        <v>0</v>
      </c>
      <c r="AD206" s="188">
        <v>0</v>
      </c>
      <c r="AE206" s="213">
        <f t="shared" ref="AE206:AE217" si="105">SUM(W206:AD206)</f>
        <v>2699</v>
      </c>
      <c r="AF206" s="5">
        <v>91517</v>
      </c>
      <c r="AK206" s="233"/>
      <c r="AL206" s="170"/>
      <c r="AM206" s="14"/>
      <c r="AN206" s="14"/>
      <c r="AO206" s="15">
        <v>150308</v>
      </c>
      <c r="AP206" s="125">
        <f t="shared" ref="AP206:AP237" si="106">AO206/B206</f>
        <v>0.52774091161249093</v>
      </c>
      <c r="AQ206" s="125"/>
      <c r="AR206" s="159">
        <v>54574</v>
      </c>
      <c r="AS206" s="159">
        <v>40059</v>
      </c>
      <c r="AT206" s="159"/>
      <c r="AU206" s="101">
        <v>45583</v>
      </c>
      <c r="AV206" s="125">
        <f t="shared" si="79"/>
        <v>0.51294480608397053</v>
      </c>
      <c r="AW206" s="125">
        <f t="shared" si="104"/>
        <v>0.46673618572120751</v>
      </c>
      <c r="AX206" s="125">
        <f t="shared" si="95"/>
        <v>4.620862036276302E-2</v>
      </c>
      <c r="AY206" s="125">
        <f t="shared" ref="AY206:AY240" si="107">BC206/B206</f>
        <v>0.97203625610600364</v>
      </c>
      <c r="AZ206" s="125">
        <f t="shared" ref="AZ206:AZ241" si="108">(M206+N206+G206+AO206)/B206</f>
        <v>0.99447709733369849</v>
      </c>
      <c r="BA206" s="125">
        <f t="shared" ref="BA206:BA223" si="109">BD206/V206</f>
        <v>0.63632458996743713</v>
      </c>
      <c r="BB206" s="125">
        <f t="shared" si="103"/>
        <v>0.68952828369754848</v>
      </c>
      <c r="BC206" s="14">
        <f t="shared" si="96"/>
        <v>276849.53424657532</v>
      </c>
      <c r="BD206" s="14">
        <f t="shared" si="97"/>
        <v>127410</v>
      </c>
      <c r="BE206" s="14">
        <f t="shared" si="98"/>
        <v>149439.53424657535</v>
      </c>
      <c r="BF206" s="14">
        <v>31</v>
      </c>
      <c r="BG206" s="14"/>
      <c r="BH206" s="179">
        <f t="shared" si="91"/>
        <v>0</v>
      </c>
      <c r="BI206" s="179">
        <f t="shared" si="92"/>
        <v>0</v>
      </c>
      <c r="BJ206" s="259">
        <f t="shared" si="99"/>
        <v>1</v>
      </c>
      <c r="BK206" s="14">
        <f t="shared" si="93"/>
        <v>391034.86199999996</v>
      </c>
      <c r="BL206" s="14">
        <f t="shared" si="100"/>
        <v>244941</v>
      </c>
      <c r="BM206" s="14">
        <f t="shared" si="101"/>
        <v>62.639172054178644</v>
      </c>
    </row>
    <row r="207" spans="1:65" x14ac:dyDescent="0.2">
      <c r="A207" s="135">
        <v>44884</v>
      </c>
      <c r="B207" s="5">
        <v>272773</v>
      </c>
      <c r="C207" s="130">
        <v>6385</v>
      </c>
      <c r="D207" s="14">
        <v>15.56</v>
      </c>
      <c r="E207" s="130">
        <v>9181</v>
      </c>
      <c r="F207" s="186">
        <v>5.5100000000000003E-2</v>
      </c>
      <c r="G207" s="165">
        <f t="shared" si="80"/>
        <v>3039</v>
      </c>
      <c r="H207" s="208">
        <v>643</v>
      </c>
      <c r="I207" s="198">
        <v>2396</v>
      </c>
      <c r="J207" s="216"/>
      <c r="K207" s="216"/>
      <c r="L207" s="216"/>
      <c r="M207" s="130">
        <v>35123</v>
      </c>
      <c r="N207" s="144">
        <v>31346</v>
      </c>
      <c r="O207" s="14">
        <v>0</v>
      </c>
      <c r="P207" s="213">
        <f t="shared" si="94"/>
        <v>1967.636</v>
      </c>
      <c r="Q207" s="180">
        <v>0</v>
      </c>
      <c r="R207" s="180">
        <v>716.23500000000001</v>
      </c>
      <c r="S207" s="180">
        <v>786.31100000000004</v>
      </c>
      <c r="T207" s="159">
        <v>464.57</v>
      </c>
      <c r="U207" s="159">
        <v>0.52</v>
      </c>
      <c r="V207" s="5">
        <v>182410</v>
      </c>
      <c r="W207" s="194">
        <v>0</v>
      </c>
      <c r="X207" s="194">
        <v>0</v>
      </c>
      <c r="Y207" s="194">
        <v>3</v>
      </c>
      <c r="Z207" s="194">
        <v>635</v>
      </c>
      <c r="AA207" s="194">
        <v>1064</v>
      </c>
      <c r="AB207" s="194"/>
      <c r="AC207" s="187">
        <v>2840</v>
      </c>
      <c r="AD207" s="188">
        <v>0</v>
      </c>
      <c r="AE207" s="213">
        <f t="shared" si="105"/>
        <v>4542</v>
      </c>
      <c r="AF207" s="5">
        <v>102863</v>
      </c>
      <c r="AK207" s="233"/>
      <c r="AL207" s="170"/>
      <c r="AM207" s="14"/>
      <c r="AN207" s="14"/>
      <c r="AO207" s="15">
        <v>208750</v>
      </c>
      <c r="AP207" s="125">
        <f t="shared" si="106"/>
        <v>0.7652883533194268</v>
      </c>
      <c r="AQ207" s="125">
        <v>1.4675</v>
      </c>
      <c r="AR207" s="159">
        <v>52003</v>
      </c>
      <c r="AS207" s="159">
        <v>22591</v>
      </c>
      <c r="AT207" s="159"/>
      <c r="AU207" s="101">
        <v>45583</v>
      </c>
      <c r="AV207" s="125">
        <f t="shared" si="79"/>
        <v>0.27868460588108063</v>
      </c>
      <c r="AW207" s="125">
        <f t="shared" si="104"/>
        <v>0.25481994185641543</v>
      </c>
      <c r="AX207" s="125">
        <f t="shared" si="95"/>
        <v>2.3864664024665194E-2</v>
      </c>
      <c r="AY207" s="125">
        <f t="shared" si="107"/>
        <v>0.98220463209184583</v>
      </c>
      <c r="AZ207" s="125">
        <f t="shared" si="108"/>
        <v>1.0201082951758422</v>
      </c>
      <c r="BA207" s="125">
        <f t="shared" si="109"/>
        <v>0.67594978345485446</v>
      </c>
      <c r="BB207" s="125">
        <f t="shared" si="103"/>
        <v>0.74634683584001915</v>
      </c>
      <c r="BC207" s="14">
        <f t="shared" si="96"/>
        <v>267918.90410958906</v>
      </c>
      <c r="BD207" s="14">
        <f t="shared" si="97"/>
        <v>123300</v>
      </c>
      <c r="BE207" s="14">
        <f t="shared" si="98"/>
        <v>144618.90410958903</v>
      </c>
      <c r="BF207" s="14">
        <v>30</v>
      </c>
      <c r="BH207" s="179">
        <f t="shared" ref="BH207:BH223" si="110">O207/(M207+N207)</f>
        <v>0</v>
      </c>
      <c r="BI207" s="179">
        <f t="shared" ref="BI207:BI223" si="111">AD207/(M207+N207)</f>
        <v>0</v>
      </c>
      <c r="BJ207" s="259">
        <f t="shared" si="99"/>
        <v>1</v>
      </c>
      <c r="BK207" s="14">
        <f t="shared" si="93"/>
        <v>359361.636</v>
      </c>
      <c r="BL207" s="14">
        <f t="shared" si="100"/>
        <v>283344</v>
      </c>
      <c r="BM207" s="14">
        <f t="shared" si="101"/>
        <v>78.846479872993456</v>
      </c>
    </row>
    <row r="208" spans="1:65" x14ac:dyDescent="0.2">
      <c r="A208" s="135">
        <v>44915</v>
      </c>
      <c r="B208" s="5">
        <v>321715</v>
      </c>
      <c r="C208" s="130">
        <v>7734.68</v>
      </c>
      <c r="D208" s="14">
        <v>15.39</v>
      </c>
      <c r="E208" s="130">
        <v>15912</v>
      </c>
      <c r="F208" s="186">
        <v>4.9599999999999998E-2</v>
      </c>
      <c r="G208" s="165">
        <f t="shared" si="80"/>
        <v>3665</v>
      </c>
      <c r="H208" s="208">
        <v>703</v>
      </c>
      <c r="I208" s="198">
        <v>2962</v>
      </c>
      <c r="J208" s="216"/>
      <c r="K208" s="216"/>
      <c r="L208" s="216"/>
      <c r="M208" s="130">
        <v>8670</v>
      </c>
      <c r="N208" s="144">
        <v>9837</v>
      </c>
      <c r="O208" s="14">
        <v>0</v>
      </c>
      <c r="P208" s="213">
        <f t="shared" si="94"/>
        <v>1896.1980000000001</v>
      </c>
      <c r="Q208" s="180">
        <v>0</v>
      </c>
      <c r="R208" s="180">
        <v>343.86599999999999</v>
      </c>
      <c r="S208" s="180">
        <v>422.42200000000003</v>
      </c>
      <c r="T208" s="159">
        <v>1129.3900000000001</v>
      </c>
      <c r="U208" s="159">
        <v>0.52</v>
      </c>
      <c r="V208" s="5">
        <v>137028</v>
      </c>
      <c r="W208" s="194">
        <v>0</v>
      </c>
      <c r="X208" s="194">
        <v>0</v>
      </c>
      <c r="Y208" s="194">
        <v>0</v>
      </c>
      <c r="Z208" s="194">
        <v>145</v>
      </c>
      <c r="AA208" s="194">
        <v>1225</v>
      </c>
      <c r="AB208" s="194"/>
      <c r="AC208" s="187">
        <v>3179</v>
      </c>
      <c r="AD208" s="188">
        <v>0</v>
      </c>
      <c r="AE208" s="213">
        <f t="shared" si="105"/>
        <v>4549</v>
      </c>
      <c r="AF208" s="5">
        <v>74384</v>
      </c>
      <c r="AK208" s="233"/>
      <c r="AL208" s="170"/>
      <c r="AM208" s="14"/>
      <c r="AN208" s="14"/>
      <c r="AO208" s="15">
        <v>258916</v>
      </c>
      <c r="AP208" s="125">
        <f t="shared" si="106"/>
        <v>0.80479927886483382</v>
      </c>
      <c r="AQ208" s="125">
        <v>1.59</v>
      </c>
      <c r="AR208" s="159">
        <v>52560</v>
      </c>
      <c r="AS208" s="159">
        <v>22563</v>
      </c>
      <c r="AT208" s="159"/>
      <c r="AU208" s="101">
        <v>45583</v>
      </c>
      <c r="AV208" s="125">
        <f t="shared" si="79"/>
        <v>8.895201653637537E-2</v>
      </c>
      <c r="AW208" s="125">
        <f t="shared" si="104"/>
        <v>6.8918141833610488E-2</v>
      </c>
      <c r="AX208" s="125">
        <f t="shared" si="95"/>
        <v>2.0033874702764881E-2</v>
      </c>
      <c r="AY208" s="125">
        <f t="shared" si="107"/>
        <v>0.86054282282944627</v>
      </c>
      <c r="AZ208" s="125">
        <f t="shared" si="108"/>
        <v>0.87371742069844427</v>
      </c>
      <c r="BA208" s="125">
        <f t="shared" si="109"/>
        <v>0.9298099658463963</v>
      </c>
      <c r="BB208" s="125">
        <f t="shared" si="103"/>
        <v>0.79282333265494775</v>
      </c>
      <c r="BC208" s="14">
        <f t="shared" si="96"/>
        <v>276849.53424657532</v>
      </c>
      <c r="BD208" s="14">
        <f t="shared" si="97"/>
        <v>127410</v>
      </c>
      <c r="BE208" s="14">
        <f t="shared" si="98"/>
        <v>149439.53424657535</v>
      </c>
      <c r="BF208" s="14">
        <v>31</v>
      </c>
      <c r="BG208" s="14"/>
      <c r="BH208" s="179">
        <f t="shared" si="110"/>
        <v>0</v>
      </c>
      <c r="BI208" s="179">
        <f t="shared" si="111"/>
        <v>0</v>
      </c>
      <c r="BJ208" s="259">
        <f t="shared" si="99"/>
        <v>1</v>
      </c>
      <c r="BK208" s="14">
        <f t="shared" si="93"/>
        <v>362656.19799999997</v>
      </c>
      <c r="BL208" s="14">
        <f t="shared" si="100"/>
        <v>334039</v>
      </c>
      <c r="BM208" s="14">
        <f t="shared" si="101"/>
        <v>92.109000712570207</v>
      </c>
    </row>
    <row r="209" spans="1:65" x14ac:dyDescent="0.2">
      <c r="A209" s="135">
        <v>44957</v>
      </c>
      <c r="B209" s="5">
        <v>262946.15999999997</v>
      </c>
      <c r="C209" s="130">
        <v>5639.46</v>
      </c>
      <c r="D209" s="14">
        <v>16.02</v>
      </c>
      <c r="E209" s="130">
        <v>13279.18</v>
      </c>
      <c r="F209" s="186">
        <v>5.6399999999999999E-2</v>
      </c>
      <c r="G209" s="165">
        <f t="shared" si="80"/>
        <v>3743</v>
      </c>
      <c r="H209" s="208">
        <v>1027</v>
      </c>
      <c r="I209" s="198">
        <v>2716</v>
      </c>
      <c r="J209" s="216"/>
      <c r="K209" s="216"/>
      <c r="L209" s="216"/>
      <c r="M209" s="130">
        <v>4</v>
      </c>
      <c r="N209" s="144">
        <v>10498</v>
      </c>
      <c r="O209" s="14">
        <v>0</v>
      </c>
      <c r="P209" s="213">
        <f t="shared" si="94"/>
        <v>3314.2219999999998</v>
      </c>
      <c r="Q209" s="180">
        <v>2524</v>
      </c>
      <c r="R209" s="180">
        <v>320.22199999999998</v>
      </c>
      <c r="S209" s="180">
        <v>334</v>
      </c>
      <c r="T209" s="159">
        <v>133</v>
      </c>
      <c r="U209" s="159">
        <v>3</v>
      </c>
      <c r="V209" s="5">
        <v>236162</v>
      </c>
      <c r="W209" s="194">
        <v>0</v>
      </c>
      <c r="X209" s="194">
        <v>0</v>
      </c>
      <c r="Y209" s="194">
        <v>0</v>
      </c>
      <c r="Z209" s="194">
        <v>1202</v>
      </c>
      <c r="AA209" s="194">
        <v>956</v>
      </c>
      <c r="AB209" s="194"/>
      <c r="AC209" s="187">
        <v>2060</v>
      </c>
      <c r="AD209" s="188">
        <v>0</v>
      </c>
      <c r="AE209" s="213">
        <f t="shared" si="105"/>
        <v>4218</v>
      </c>
      <c r="AF209" s="5">
        <v>124190</v>
      </c>
      <c r="AK209" s="233"/>
      <c r="AL209" s="170"/>
      <c r="AM209" s="14"/>
      <c r="AN209" s="14"/>
      <c r="AO209" s="15">
        <v>252197</v>
      </c>
      <c r="AP209" s="125">
        <f t="shared" si="106"/>
        <v>0.95912030052083674</v>
      </c>
      <c r="AQ209" s="125">
        <v>1.473064516</v>
      </c>
      <c r="AR209" s="159">
        <v>48299</v>
      </c>
      <c r="AS209" s="159">
        <v>22611.55</v>
      </c>
      <c r="AT209" s="159"/>
      <c r="AU209" s="101">
        <v>45583</v>
      </c>
      <c r="AV209" s="125">
        <f t="shared" si="79"/>
        <v>8.2820079973786279E-2</v>
      </c>
      <c r="AW209" s="125">
        <f t="shared" si="104"/>
        <v>5.4174588440462496E-2</v>
      </c>
      <c r="AX209" s="125">
        <f t="shared" si="95"/>
        <v>2.8645491533323783E-2</v>
      </c>
      <c r="AY209" s="125">
        <f t="shared" si="107"/>
        <v>1.0528753652328497</v>
      </c>
      <c r="AZ209" s="125">
        <f t="shared" si="108"/>
        <v>1.0132948889612992</v>
      </c>
      <c r="BA209" s="125">
        <f t="shared" si="109"/>
        <v>0.53950254486327187</v>
      </c>
      <c r="BB209" s="125">
        <f t="shared" si="103"/>
        <v>1.0905766284742924</v>
      </c>
      <c r="BC209" s="14">
        <f t="shared" si="96"/>
        <v>276849.53424657532</v>
      </c>
      <c r="BD209" s="14">
        <f t="shared" si="97"/>
        <v>127410</v>
      </c>
      <c r="BE209" s="14">
        <f t="shared" si="98"/>
        <v>149439.53424657535</v>
      </c>
      <c r="BF209" s="14">
        <v>31</v>
      </c>
      <c r="BG209" s="14"/>
      <c r="BH209" s="179">
        <f t="shared" si="110"/>
        <v>0</v>
      </c>
      <c r="BI209" s="179">
        <f t="shared" si="111"/>
        <v>0</v>
      </c>
      <c r="BJ209" s="259">
        <f t="shared" si="99"/>
        <v>1</v>
      </c>
      <c r="BK209" s="14">
        <f t="shared" ref="BK209:BK220" si="112">SUM(G209,M209,N209:O209,P209,AE209,AO209,AR209,AS209)</f>
        <v>344884.772</v>
      </c>
      <c r="BL209" s="14">
        <f t="shared" si="100"/>
        <v>323107.55</v>
      </c>
      <c r="BM209" s="14">
        <f t="shared" si="101"/>
        <v>93.685652783765121</v>
      </c>
    </row>
    <row r="210" spans="1:65" x14ac:dyDescent="0.2">
      <c r="A210" s="135">
        <v>44958</v>
      </c>
      <c r="B210" s="5">
        <v>266578.40000000002</v>
      </c>
      <c r="C210" s="130">
        <v>6069.8</v>
      </c>
      <c r="D210" s="14">
        <v>14.6</v>
      </c>
      <c r="E210" s="130">
        <v>10944</v>
      </c>
      <c r="F210" s="186">
        <v>5.7500000000000002E-2</v>
      </c>
      <c r="G210" s="165">
        <f t="shared" si="80"/>
        <v>3825</v>
      </c>
      <c r="H210" s="208">
        <v>1212</v>
      </c>
      <c r="I210" s="198">
        <v>2613</v>
      </c>
      <c r="J210" s="216"/>
      <c r="K210" s="216"/>
      <c r="L210" s="216"/>
      <c r="M210" s="130">
        <v>0</v>
      </c>
      <c r="N210" s="144">
        <v>19928</v>
      </c>
      <c r="O210" s="14">
        <v>0</v>
      </c>
      <c r="P210" s="213">
        <f t="shared" si="94"/>
        <v>3521.6</v>
      </c>
      <c r="Q210" s="180">
        <v>2411.86</v>
      </c>
      <c r="R210" s="180">
        <v>53.81</v>
      </c>
      <c r="S210" s="180">
        <v>119.29</v>
      </c>
      <c r="T210" s="159">
        <v>936.64</v>
      </c>
      <c r="U210" s="159">
        <v>0</v>
      </c>
      <c r="V210" s="5">
        <v>176676</v>
      </c>
      <c r="W210" s="194">
        <v>0</v>
      </c>
      <c r="X210" s="194">
        <v>0</v>
      </c>
      <c r="Y210" s="194">
        <v>0</v>
      </c>
      <c r="Z210" s="194">
        <v>710</v>
      </c>
      <c r="AA210" s="194">
        <v>1082</v>
      </c>
      <c r="AB210" s="194"/>
      <c r="AC210" s="187">
        <v>3392</v>
      </c>
      <c r="AD210" s="188">
        <v>0</v>
      </c>
      <c r="AE210" s="213">
        <f t="shared" si="105"/>
        <v>5184</v>
      </c>
      <c r="AF210" s="5">
        <v>105130</v>
      </c>
      <c r="AK210" s="233"/>
      <c r="AL210" s="170"/>
      <c r="AM210" s="14"/>
      <c r="AN210" s="14"/>
      <c r="AO210" s="15">
        <v>212256</v>
      </c>
      <c r="AP210" s="125">
        <f t="shared" si="106"/>
        <v>0.7962235499950483</v>
      </c>
      <c r="AQ210" s="125">
        <v>1.5251785710000001</v>
      </c>
      <c r="AR210" s="159">
        <v>56488</v>
      </c>
      <c r="AS210" s="159">
        <v>28144</v>
      </c>
      <c r="AT210" s="159"/>
      <c r="AU210" s="101">
        <v>45583</v>
      </c>
      <c r="AV210" s="125">
        <f t="shared" si="79"/>
        <v>0.12176005257740311</v>
      </c>
      <c r="AW210" s="125">
        <f t="shared" si="104"/>
        <v>8.9103243173490415E-2</v>
      </c>
      <c r="AX210" s="125">
        <f t="shared" si="95"/>
        <v>3.265680940391269E-2</v>
      </c>
      <c r="AY210" s="125">
        <f t="shared" si="107"/>
        <v>0.93802665120511042</v>
      </c>
      <c r="AZ210" s="125">
        <f t="shared" si="108"/>
        <v>0.88532679316853868</v>
      </c>
      <c r="BA210" s="125">
        <f t="shared" si="109"/>
        <v>0.65136181484751754</v>
      </c>
      <c r="BB210" s="125">
        <f t="shared" si="103"/>
        <v>0.63278399677583752</v>
      </c>
      <c r="BC210" s="14">
        <f t="shared" si="96"/>
        <v>250057.64383561644</v>
      </c>
      <c r="BD210" s="14">
        <f t="shared" si="97"/>
        <v>115080</v>
      </c>
      <c r="BE210" s="14">
        <f t="shared" si="98"/>
        <v>134977.64383561644</v>
      </c>
      <c r="BF210" s="14">
        <v>28</v>
      </c>
      <c r="BG210" s="14"/>
      <c r="BH210" s="179">
        <f t="shared" si="110"/>
        <v>0</v>
      </c>
      <c r="BI210" s="179">
        <f t="shared" si="111"/>
        <v>0</v>
      </c>
      <c r="BJ210" s="259">
        <f t="shared" si="99"/>
        <v>1</v>
      </c>
      <c r="BK210" s="14">
        <f t="shared" si="112"/>
        <v>329346.59999999998</v>
      </c>
      <c r="BL210" s="14">
        <f t="shared" si="100"/>
        <v>296888</v>
      </c>
      <c r="BM210" s="14">
        <f t="shared" si="101"/>
        <v>90.144546808741921</v>
      </c>
    </row>
    <row r="211" spans="1:65" x14ac:dyDescent="0.2">
      <c r="A211" s="135">
        <v>45008</v>
      </c>
      <c r="B211" s="5">
        <v>311970</v>
      </c>
      <c r="C211" s="130">
        <v>7247</v>
      </c>
      <c r="D211" s="214">
        <v>13.9</v>
      </c>
      <c r="E211" s="214">
        <v>21557</v>
      </c>
      <c r="F211" s="186">
        <v>5.7000000000000002E-2</v>
      </c>
      <c r="G211" s="165">
        <f t="shared" si="80"/>
        <v>4301</v>
      </c>
      <c r="H211" s="208">
        <v>1552</v>
      </c>
      <c r="I211" s="198">
        <v>2749</v>
      </c>
      <c r="J211" s="216"/>
      <c r="K211" s="216"/>
      <c r="L211" s="216"/>
      <c r="M211" s="130">
        <v>0</v>
      </c>
      <c r="N211" s="144">
        <v>46159</v>
      </c>
      <c r="O211" s="14">
        <v>0</v>
      </c>
      <c r="P211" s="213">
        <f t="shared" si="94"/>
        <v>3758.8820000000001</v>
      </c>
      <c r="Q211" s="180">
        <v>2668.9140000000002</v>
      </c>
      <c r="R211" s="180">
        <v>630.01400000000001</v>
      </c>
      <c r="S211" s="180">
        <v>64.680000000000007</v>
      </c>
      <c r="T211" s="159">
        <v>395.274</v>
      </c>
      <c r="U211" s="159">
        <v>0</v>
      </c>
      <c r="V211" s="5">
        <v>168003</v>
      </c>
      <c r="W211" s="194">
        <v>0</v>
      </c>
      <c r="X211" s="194">
        <v>0</v>
      </c>
      <c r="Y211" s="194">
        <v>0</v>
      </c>
      <c r="Z211" s="194">
        <v>855</v>
      </c>
      <c r="AA211" s="194">
        <v>1324</v>
      </c>
      <c r="AB211" s="194"/>
      <c r="AC211" s="187">
        <v>3447</v>
      </c>
      <c r="AD211" s="188">
        <v>0</v>
      </c>
      <c r="AE211" s="213">
        <f t="shared" si="105"/>
        <v>5626</v>
      </c>
      <c r="AF211" s="5">
        <v>87680</v>
      </c>
      <c r="AK211" s="233"/>
      <c r="AL211" s="170"/>
      <c r="AM211" s="14"/>
      <c r="AN211" s="14"/>
      <c r="AO211" s="15">
        <v>220251</v>
      </c>
      <c r="AP211" s="125">
        <f t="shared" si="106"/>
        <v>0.70600057697855567</v>
      </c>
      <c r="AQ211" s="125">
        <v>1.49</v>
      </c>
      <c r="AR211" s="159">
        <v>59256</v>
      </c>
      <c r="AS211" s="159">
        <v>33252</v>
      </c>
      <c r="AT211" s="159"/>
      <c r="AU211" s="101">
        <v>45583</v>
      </c>
      <c r="AV211" s="125">
        <f t="shared" si="79"/>
        <v>0.19182896432349264</v>
      </c>
      <c r="AW211" s="125">
        <f t="shared" si="104"/>
        <v>0.16174632176170786</v>
      </c>
      <c r="AX211" s="125">
        <f t="shared" si="95"/>
        <v>3.0082642561784778E-2</v>
      </c>
      <c r="AY211" s="125">
        <f t="shared" si="107"/>
        <v>0.88742357998068833</v>
      </c>
      <c r="AZ211" s="125">
        <f t="shared" si="108"/>
        <v>0.86774689874026345</v>
      </c>
      <c r="BA211" s="125">
        <f t="shared" si="109"/>
        <v>0.75837931465509545</v>
      </c>
      <c r="BB211" s="125">
        <f t="shared" si="103"/>
        <v>0.76398403764867018</v>
      </c>
      <c r="BC211" s="14">
        <f t="shared" si="96"/>
        <v>276849.53424657532</v>
      </c>
      <c r="BD211" s="14">
        <f t="shared" si="97"/>
        <v>127410</v>
      </c>
      <c r="BE211" s="14">
        <f t="shared" si="98"/>
        <v>149439.53424657535</v>
      </c>
      <c r="BF211" s="14">
        <v>31</v>
      </c>
      <c r="BG211" s="14"/>
      <c r="BH211" s="179">
        <f t="shared" si="110"/>
        <v>0</v>
      </c>
      <c r="BI211" s="179">
        <f t="shared" si="111"/>
        <v>0</v>
      </c>
      <c r="BJ211" s="259">
        <f t="shared" si="99"/>
        <v>1</v>
      </c>
      <c r="BK211" s="14">
        <f t="shared" si="112"/>
        <v>372603.88199999998</v>
      </c>
      <c r="BL211" s="14">
        <f t="shared" si="100"/>
        <v>312759</v>
      </c>
      <c r="BM211" s="14">
        <f t="shared" si="101"/>
        <v>83.938738995746704</v>
      </c>
    </row>
    <row r="212" spans="1:65" x14ac:dyDescent="0.2">
      <c r="A212" s="135">
        <v>45018</v>
      </c>
      <c r="B212" s="5">
        <v>284388</v>
      </c>
      <c r="C212" s="130">
        <v>6407</v>
      </c>
      <c r="D212" s="214">
        <v>14.1</v>
      </c>
      <c r="E212" s="214">
        <v>17860</v>
      </c>
      <c r="F212" s="186">
        <v>5.6800000000000003E-2</v>
      </c>
      <c r="G212" s="165">
        <f t="shared" si="80"/>
        <v>3293</v>
      </c>
      <c r="H212" s="208">
        <v>750</v>
      </c>
      <c r="I212" s="198">
        <v>2543</v>
      </c>
      <c r="J212" s="216"/>
      <c r="K212" s="216"/>
      <c r="L212" s="216"/>
      <c r="M212" s="130">
        <v>41</v>
      </c>
      <c r="N212" s="144">
        <v>19983</v>
      </c>
      <c r="O212" s="14">
        <v>0</v>
      </c>
      <c r="P212" s="213">
        <f t="shared" ref="P212:P222" si="113">Q212+R212+S212+T212+U212</f>
        <v>3884.25</v>
      </c>
      <c r="Q212" s="180">
        <v>2558.25</v>
      </c>
      <c r="R212" s="180">
        <v>314</v>
      </c>
      <c r="S212" s="180">
        <v>377</v>
      </c>
      <c r="T212" s="159">
        <v>635</v>
      </c>
      <c r="U212" s="159">
        <v>0</v>
      </c>
      <c r="V212" s="5">
        <v>205692</v>
      </c>
      <c r="W212" s="194">
        <v>0</v>
      </c>
      <c r="X212" s="194">
        <v>0</v>
      </c>
      <c r="Y212" s="194">
        <v>0</v>
      </c>
      <c r="Z212" s="194">
        <v>1258</v>
      </c>
      <c r="AA212" s="194">
        <v>566</v>
      </c>
      <c r="AB212" s="194"/>
      <c r="AC212" s="187">
        <v>3594</v>
      </c>
      <c r="AD212" s="188">
        <v>0</v>
      </c>
      <c r="AE212" s="213">
        <f t="shared" si="105"/>
        <v>5418</v>
      </c>
      <c r="AF212" s="5">
        <v>117780</v>
      </c>
      <c r="AK212" s="233"/>
      <c r="AL212" s="170"/>
      <c r="AM212" s="14"/>
      <c r="AN212" s="14"/>
      <c r="AO212" s="15">
        <v>251045</v>
      </c>
      <c r="AP212" s="125">
        <f t="shared" si="106"/>
        <v>0.88275524986989606</v>
      </c>
      <c r="AQ212" s="125">
        <v>2.4900000000000002</v>
      </c>
      <c r="AR212" s="159">
        <v>57926</v>
      </c>
      <c r="AS212" s="159">
        <v>25597</v>
      </c>
      <c r="AT212" s="159"/>
      <c r="AU212" s="101">
        <v>45584</v>
      </c>
      <c r="AV212" s="125">
        <f t="shared" si="79"/>
        <v>0.11469981152509952</v>
      </c>
      <c r="AW212" s="125">
        <f t="shared" si="104"/>
        <v>8.199009803507884E-2</v>
      </c>
      <c r="AX212" s="125">
        <f t="shared" ref="AX212:AX221" si="114">AV212-AW212</f>
        <v>3.2709713490020678E-2</v>
      </c>
      <c r="AY212" s="125">
        <f t="shared" si="107"/>
        <v>0.94208934311429826</v>
      </c>
      <c r="AZ212" s="125">
        <f t="shared" si="108"/>
        <v>0.9647453479049749</v>
      </c>
      <c r="BA212" s="125">
        <f t="shared" si="109"/>
        <v>0.59943993932676043</v>
      </c>
      <c r="BB212" s="125">
        <f t="shared" si="103"/>
        <v>0.88950515316140399</v>
      </c>
      <c r="BC212" s="14">
        <f t="shared" ref="BC212:BC222" si="115">BD212+BE212</f>
        <v>267918.90410958906</v>
      </c>
      <c r="BD212" s="14">
        <f t="shared" ref="BD212:BD223" si="116">$BD$4*BF212</f>
        <v>123300</v>
      </c>
      <c r="BE212" s="14">
        <f t="shared" ref="BE212:BE222" si="117">$BE$4*BF212</f>
        <v>144618.90410958903</v>
      </c>
      <c r="BF212" s="14">
        <v>30</v>
      </c>
      <c r="BG212" s="14"/>
      <c r="BH212" s="179">
        <f t="shared" si="110"/>
        <v>0</v>
      </c>
      <c r="BI212" s="179">
        <f t="shared" si="111"/>
        <v>0</v>
      </c>
      <c r="BJ212" s="259">
        <f t="shared" ref="BJ212:BJ222" si="118">1-BI212-BH212</f>
        <v>1</v>
      </c>
      <c r="BK212" s="14">
        <f t="shared" si="112"/>
        <v>367187.25</v>
      </c>
      <c r="BL212" s="14">
        <f t="shared" ref="BL212:BL220" si="119">SUM(AO212,AR212,AS212)</f>
        <v>334568</v>
      </c>
      <c r="BM212" s="14">
        <f t="shared" ref="BM212:BM223" si="120">(BL212*100)/BK212</f>
        <v>91.116453526096024</v>
      </c>
    </row>
    <row r="213" spans="1:65" x14ac:dyDescent="0.2">
      <c r="A213" s="135">
        <v>45049</v>
      </c>
      <c r="B213" s="5">
        <v>310556</v>
      </c>
      <c r="C213" s="130">
        <v>7561.66</v>
      </c>
      <c r="D213" s="214">
        <v>14.66</v>
      </c>
      <c r="E213" s="214">
        <v>20130</v>
      </c>
      <c r="F213" s="186">
        <v>5.3999999999999999E-2</v>
      </c>
      <c r="G213" s="165">
        <f>H213+I213</f>
        <v>3497</v>
      </c>
      <c r="H213" s="208">
        <v>1039</v>
      </c>
      <c r="I213" s="198">
        <v>2458</v>
      </c>
      <c r="J213" s="216"/>
      <c r="K213" s="216"/>
      <c r="L213" s="216"/>
      <c r="M213" s="130">
        <v>3</v>
      </c>
      <c r="N213" s="144">
        <v>89212</v>
      </c>
      <c r="O213" s="14">
        <v>0</v>
      </c>
      <c r="P213" s="213">
        <f t="shared" si="113"/>
        <v>3618.366</v>
      </c>
      <c r="Q213" s="180">
        <v>2425.5050000000001</v>
      </c>
      <c r="R213" s="180">
        <v>306.988</v>
      </c>
      <c r="S213" s="180">
        <v>125.51</v>
      </c>
      <c r="T213" s="159">
        <v>347.69299999999998</v>
      </c>
      <c r="U213" s="159">
        <v>412.67</v>
      </c>
      <c r="V213" s="5">
        <v>234154</v>
      </c>
      <c r="W213" s="194">
        <v>0</v>
      </c>
      <c r="X213" s="194">
        <v>0</v>
      </c>
      <c r="Y213" s="194">
        <v>281</v>
      </c>
      <c r="Z213" s="194">
        <v>2135</v>
      </c>
      <c r="AA213" s="194">
        <v>58</v>
      </c>
      <c r="AB213" s="194"/>
      <c r="AC213" s="187">
        <v>3832</v>
      </c>
      <c r="AD213" s="188">
        <v>0</v>
      </c>
      <c r="AE213" s="213">
        <f t="shared" si="105"/>
        <v>6306</v>
      </c>
      <c r="AF213" s="5">
        <v>112676</v>
      </c>
      <c r="AK213" s="233"/>
      <c r="AL213" s="170"/>
      <c r="AM213" s="14"/>
      <c r="AN213" s="14"/>
      <c r="AO213" s="15">
        <v>225317</v>
      </c>
      <c r="AP213" s="125">
        <f t="shared" si="106"/>
        <v>0.72552776310874689</v>
      </c>
      <c r="AQ213" s="125">
        <v>1.4946775189999999</v>
      </c>
      <c r="AR213" s="159">
        <v>73483</v>
      </c>
      <c r="AS213" s="159">
        <v>51837</v>
      </c>
      <c r="AT213" s="159"/>
      <c r="AU213" s="101">
        <v>45584</v>
      </c>
      <c r="AV213" s="125">
        <f t="shared" ref="AV213:AV221" si="121">(G213+M213+N213+P213+AE213)/B213</f>
        <v>0.33049229768544158</v>
      </c>
      <c r="AW213" s="125">
        <f t="shared" si="104"/>
        <v>0.29853552982392867</v>
      </c>
      <c r="AX213" s="125">
        <f t="shared" si="114"/>
        <v>3.1956767861512914E-2</v>
      </c>
      <c r="AY213" s="125">
        <f t="shared" si="107"/>
        <v>0.89146412964674748</v>
      </c>
      <c r="AZ213" s="125">
        <f t="shared" si="108"/>
        <v>1.0240632929326756</v>
      </c>
      <c r="BA213" s="125">
        <f t="shared" si="109"/>
        <v>0.54412907744475858</v>
      </c>
      <c r="BB213" s="125">
        <f t="shared" si="103"/>
        <v>0.70308472915616083</v>
      </c>
      <c r="BC213" s="14">
        <f t="shared" si="115"/>
        <v>276849.53424657532</v>
      </c>
      <c r="BD213" s="14">
        <f t="shared" si="116"/>
        <v>127410</v>
      </c>
      <c r="BE213" s="14">
        <f t="shared" si="117"/>
        <v>149439.53424657535</v>
      </c>
      <c r="BF213" s="14">
        <v>31</v>
      </c>
      <c r="BG213" s="14"/>
      <c r="BH213" s="179">
        <f t="shared" si="110"/>
        <v>0</v>
      </c>
      <c r="BI213" s="179">
        <f t="shared" si="111"/>
        <v>0</v>
      </c>
      <c r="BJ213" s="259">
        <f t="shared" si="118"/>
        <v>1</v>
      </c>
      <c r="BK213" s="14">
        <f t="shared" si="112"/>
        <v>453273.36599999998</v>
      </c>
      <c r="BL213" s="14">
        <f t="shared" si="119"/>
        <v>350637</v>
      </c>
      <c r="BM213" s="14">
        <f t="shared" si="120"/>
        <v>77.35662986207754</v>
      </c>
    </row>
    <row r="214" spans="1:65" x14ac:dyDescent="0.2">
      <c r="A214" s="135">
        <v>45081</v>
      </c>
      <c r="B214" s="5">
        <v>327608</v>
      </c>
      <c r="C214" s="130">
        <v>7725.82</v>
      </c>
      <c r="D214" s="214">
        <v>14.93</v>
      </c>
      <c r="E214" s="214">
        <v>19958</v>
      </c>
      <c r="F214" s="186">
        <v>5.5199999999999999E-2</v>
      </c>
      <c r="G214" s="165">
        <f>H214+I214</f>
        <v>3833</v>
      </c>
      <c r="H214" s="208">
        <v>1520</v>
      </c>
      <c r="I214" s="198">
        <v>2313</v>
      </c>
      <c r="J214" s="216"/>
      <c r="K214" s="216"/>
      <c r="L214" s="216"/>
      <c r="M214" s="130">
        <v>103</v>
      </c>
      <c r="N214" s="144">
        <v>32852</v>
      </c>
      <c r="O214" s="14">
        <v>0</v>
      </c>
      <c r="P214" s="213">
        <f t="shared" si="113"/>
        <v>3228.4300000000003</v>
      </c>
      <c r="Q214" s="180">
        <v>2293.5650000000001</v>
      </c>
      <c r="R214" s="180">
        <v>160</v>
      </c>
      <c r="S214" s="180">
        <v>353.23500000000001</v>
      </c>
      <c r="T214" s="159">
        <v>138</v>
      </c>
      <c r="U214" s="159">
        <v>283.63</v>
      </c>
      <c r="V214" s="5">
        <v>204595</v>
      </c>
      <c r="W214" s="194">
        <v>0</v>
      </c>
      <c r="X214" s="194">
        <v>0</v>
      </c>
      <c r="Y214" s="194">
        <v>632</v>
      </c>
      <c r="Z214" s="194">
        <v>4395</v>
      </c>
      <c r="AA214" s="194">
        <v>0</v>
      </c>
      <c r="AB214" s="194"/>
      <c r="AC214" s="187">
        <v>3095</v>
      </c>
      <c r="AD214" s="188">
        <v>0</v>
      </c>
      <c r="AE214" s="213">
        <f t="shared" si="105"/>
        <v>8122</v>
      </c>
      <c r="AF214" s="5">
        <v>115480</v>
      </c>
      <c r="AK214" s="233"/>
      <c r="AL214" s="170"/>
      <c r="AM214" s="14"/>
      <c r="AN214" s="14"/>
      <c r="AO214" s="15">
        <v>214173</v>
      </c>
      <c r="AP214" s="125">
        <f t="shared" si="106"/>
        <v>0.65374777172718612</v>
      </c>
      <c r="AQ214" s="125">
        <v>1.57</v>
      </c>
      <c r="AR214" s="159">
        <v>58388</v>
      </c>
      <c r="AS214" s="159">
        <v>24196</v>
      </c>
      <c r="AT214" s="159"/>
      <c r="AU214" s="101">
        <v>45584</v>
      </c>
      <c r="AV214" s="125">
        <f t="shared" si="121"/>
        <v>0.14693911626089717</v>
      </c>
      <c r="AW214" s="125">
        <f t="shared" si="104"/>
        <v>0.11229274010402676</v>
      </c>
      <c r="AX214" s="125">
        <f t="shared" si="114"/>
        <v>3.4646376156870412E-2</v>
      </c>
      <c r="AY214" s="125">
        <f t="shared" si="107"/>
        <v>0.81780330184119143</v>
      </c>
      <c r="AZ214" s="125">
        <f t="shared" si="108"/>
        <v>0.76604051183121291</v>
      </c>
      <c r="BA214" s="125">
        <f t="shared" si="109"/>
        <v>0.60265402380312327</v>
      </c>
      <c r="BB214" s="125">
        <f t="shared" si="103"/>
        <v>0.63821046937731296</v>
      </c>
      <c r="BC214" s="14">
        <f t="shared" si="115"/>
        <v>267918.90410958906</v>
      </c>
      <c r="BD214" s="14">
        <f t="shared" si="116"/>
        <v>123300</v>
      </c>
      <c r="BE214" s="14">
        <f t="shared" si="117"/>
        <v>144618.90410958903</v>
      </c>
      <c r="BF214" s="14">
        <v>30</v>
      </c>
      <c r="BG214" s="14"/>
      <c r="BH214" s="179">
        <f t="shared" si="110"/>
        <v>0</v>
      </c>
      <c r="BI214" s="179">
        <f t="shared" si="111"/>
        <v>0</v>
      </c>
      <c r="BJ214" s="259">
        <f t="shared" si="118"/>
        <v>1</v>
      </c>
      <c r="BK214" s="14">
        <f t="shared" si="112"/>
        <v>344895.43</v>
      </c>
      <c r="BL214" s="14">
        <f t="shared" si="119"/>
        <v>296757</v>
      </c>
      <c r="BM214" s="14">
        <f t="shared" si="120"/>
        <v>86.042601376307019</v>
      </c>
    </row>
    <row r="215" spans="1:65" x14ac:dyDescent="0.2">
      <c r="A215" s="135">
        <v>45112</v>
      </c>
      <c r="B215" s="5">
        <v>297039</v>
      </c>
      <c r="C215" s="130">
        <v>7740.2</v>
      </c>
      <c r="D215" s="214">
        <v>14.31</v>
      </c>
      <c r="E215" s="214">
        <v>16660</v>
      </c>
      <c r="F215" s="186">
        <v>5.3800000000000001E-2</v>
      </c>
      <c r="G215" s="165">
        <f>H215+I215</f>
        <v>3417</v>
      </c>
      <c r="H215" s="208">
        <v>1087</v>
      </c>
      <c r="I215" s="198">
        <v>2330</v>
      </c>
      <c r="J215" s="198"/>
      <c r="K215" s="198"/>
      <c r="L215" s="198"/>
      <c r="M215" s="14">
        <v>266</v>
      </c>
      <c r="N215" s="170">
        <v>59286</v>
      </c>
      <c r="O215" s="14">
        <v>0</v>
      </c>
      <c r="P215" s="213">
        <f t="shared" si="113"/>
        <v>3049.8439999999996</v>
      </c>
      <c r="Q215" s="180">
        <v>1034.6099999999999</v>
      </c>
      <c r="R215" s="180">
        <v>291.94400000000002</v>
      </c>
      <c r="S215" s="180">
        <v>349.72</v>
      </c>
      <c r="T215" s="159">
        <v>861.8</v>
      </c>
      <c r="U215" s="159">
        <v>511.77</v>
      </c>
      <c r="V215" s="5">
        <v>193368</v>
      </c>
      <c r="W215" s="194">
        <v>0</v>
      </c>
      <c r="X215" s="194">
        <v>0</v>
      </c>
      <c r="Y215" s="194">
        <v>184</v>
      </c>
      <c r="Z215" s="194">
        <v>4513</v>
      </c>
      <c r="AA215" s="194">
        <v>418</v>
      </c>
      <c r="AB215" s="194"/>
      <c r="AC215" s="187">
        <v>3963</v>
      </c>
      <c r="AD215" s="188">
        <v>0</v>
      </c>
      <c r="AE215" s="215">
        <f t="shared" si="105"/>
        <v>9078</v>
      </c>
      <c r="AF215" s="5">
        <v>118388</v>
      </c>
      <c r="AK215" s="233"/>
      <c r="AL215" s="170"/>
      <c r="AM215" s="14"/>
      <c r="AN215" s="14"/>
      <c r="AO215" s="15">
        <v>159942</v>
      </c>
      <c r="AP215" s="125">
        <f t="shared" si="106"/>
        <v>0.53845454637269852</v>
      </c>
      <c r="AQ215" s="125">
        <v>2.0998387100000002</v>
      </c>
      <c r="AR215" s="159">
        <v>73732</v>
      </c>
      <c r="AS215" s="159">
        <v>21811</v>
      </c>
      <c r="AT215" s="159"/>
      <c r="AU215" s="101">
        <v>45584</v>
      </c>
      <c r="AV215" s="125">
        <f t="shared" si="121"/>
        <v>0.25281812825925215</v>
      </c>
      <c r="AW215" s="125">
        <f t="shared" si="104"/>
        <v>0.2119889980776935</v>
      </c>
      <c r="AX215" s="125">
        <f t="shared" si="114"/>
        <v>4.0829130181558648E-2</v>
      </c>
      <c r="AY215" s="125">
        <f t="shared" si="107"/>
        <v>0.93203092606215121</v>
      </c>
      <c r="AZ215" s="125">
        <f t="shared" si="108"/>
        <v>0.75044354445039207</v>
      </c>
      <c r="BA215" s="125">
        <f t="shared" si="109"/>
        <v>0.65889909395556656</v>
      </c>
      <c r="BB215" s="125">
        <f t="shared" si="103"/>
        <v>0.70685453754778482</v>
      </c>
      <c r="BC215" s="14">
        <f t="shared" si="115"/>
        <v>276849.53424657532</v>
      </c>
      <c r="BD215" s="14">
        <f t="shared" si="116"/>
        <v>127410</v>
      </c>
      <c r="BE215" s="14">
        <f t="shared" si="117"/>
        <v>149439.53424657535</v>
      </c>
      <c r="BF215" s="14">
        <v>31</v>
      </c>
      <c r="BG215" s="14"/>
      <c r="BH215" s="179">
        <f t="shared" si="110"/>
        <v>0</v>
      </c>
      <c r="BI215" s="179">
        <f t="shared" si="111"/>
        <v>0</v>
      </c>
      <c r="BJ215" s="259">
        <f t="shared" si="118"/>
        <v>1</v>
      </c>
      <c r="BK215" s="14">
        <f t="shared" si="112"/>
        <v>330581.84399999998</v>
      </c>
      <c r="BL215" s="14">
        <f t="shared" si="119"/>
        <v>255485</v>
      </c>
      <c r="BM215" s="14">
        <f t="shared" si="120"/>
        <v>77.283433629827542</v>
      </c>
    </row>
    <row r="216" spans="1:65" x14ac:dyDescent="0.2">
      <c r="A216" s="135">
        <v>45144</v>
      </c>
      <c r="B216" s="5">
        <v>324302</v>
      </c>
      <c r="C216" s="130">
        <v>7840</v>
      </c>
      <c r="D216" s="214">
        <v>13.88</v>
      </c>
      <c r="E216" s="214">
        <v>17118</v>
      </c>
      <c r="F216" s="186">
        <v>5.6300000000000003E-2</v>
      </c>
      <c r="G216" s="165">
        <f>H216+I216</f>
        <v>3001</v>
      </c>
      <c r="H216" s="208">
        <v>790</v>
      </c>
      <c r="I216" s="198">
        <v>2211</v>
      </c>
      <c r="J216" s="198"/>
      <c r="K216" s="198"/>
      <c r="L216" s="198"/>
      <c r="M216" s="14">
        <v>318</v>
      </c>
      <c r="N216" s="170">
        <v>62681</v>
      </c>
      <c r="O216" s="14">
        <v>0</v>
      </c>
      <c r="P216" s="213">
        <f t="shared" si="113"/>
        <v>3424</v>
      </c>
      <c r="Q216" s="180">
        <v>2460</v>
      </c>
      <c r="R216" s="180">
        <v>226</v>
      </c>
      <c r="S216" s="180">
        <v>383</v>
      </c>
      <c r="T216" s="159">
        <v>355</v>
      </c>
      <c r="U216" s="159"/>
      <c r="V216" s="5">
        <v>229080</v>
      </c>
      <c r="W216" s="194">
        <v>0</v>
      </c>
      <c r="X216" s="194">
        <v>0</v>
      </c>
      <c r="Y216" s="194">
        <v>1050</v>
      </c>
      <c r="Z216" s="194">
        <v>2425</v>
      </c>
      <c r="AA216" s="194">
        <v>257</v>
      </c>
      <c r="AB216" s="194"/>
      <c r="AC216" s="187">
        <v>2085</v>
      </c>
      <c r="AD216" s="188">
        <v>0</v>
      </c>
      <c r="AE216" s="215">
        <f t="shared" si="105"/>
        <v>5817</v>
      </c>
      <c r="AF216" s="5">
        <v>111151</v>
      </c>
      <c r="AK216" s="233"/>
      <c r="AL216" s="170"/>
      <c r="AM216" s="14"/>
      <c r="AN216" s="14"/>
      <c r="AO216" s="15">
        <v>150231</v>
      </c>
      <c r="AP216" s="125">
        <f t="shared" si="106"/>
        <v>0.4632441366380719</v>
      </c>
      <c r="AQ216" s="125">
        <v>1.6</v>
      </c>
      <c r="AR216" s="159">
        <v>77331</v>
      </c>
      <c r="AS216" s="159">
        <v>21596</v>
      </c>
      <c r="AT216" s="159"/>
      <c r="AU216" s="101">
        <v>45584</v>
      </c>
      <c r="AV216" s="125">
        <f t="shared" si="121"/>
        <v>0.23200905328983479</v>
      </c>
      <c r="AW216" s="125">
        <f t="shared" si="104"/>
        <v>0.20351400854758836</v>
      </c>
      <c r="AX216" s="125">
        <f t="shared" si="114"/>
        <v>2.8495044742246428E-2</v>
      </c>
      <c r="AY216" s="125">
        <f t="shared" si="107"/>
        <v>0.85367815877353614</v>
      </c>
      <c r="AZ216" s="125">
        <f t="shared" si="108"/>
        <v>0.66675814518566023</v>
      </c>
      <c r="BA216" s="125">
        <f t="shared" si="109"/>
        <v>0.55618124672603453</v>
      </c>
      <c r="BB216" s="125">
        <f t="shared" si="103"/>
        <v>0.77282453273848495</v>
      </c>
      <c r="BC216" s="14">
        <f t="shared" si="115"/>
        <v>276849.53424657532</v>
      </c>
      <c r="BD216" s="14">
        <f t="shared" si="116"/>
        <v>127410</v>
      </c>
      <c r="BE216" s="14">
        <f t="shared" si="117"/>
        <v>149439.53424657535</v>
      </c>
      <c r="BF216" s="14">
        <v>31</v>
      </c>
      <c r="BG216" s="14"/>
      <c r="BH216" s="179">
        <f t="shared" si="110"/>
        <v>0</v>
      </c>
      <c r="BI216" s="179">
        <f t="shared" si="111"/>
        <v>0</v>
      </c>
      <c r="BJ216" s="259">
        <f t="shared" si="118"/>
        <v>1</v>
      </c>
      <c r="BK216" s="14">
        <f t="shared" si="112"/>
        <v>324399</v>
      </c>
      <c r="BL216" s="14">
        <f t="shared" si="119"/>
        <v>249158</v>
      </c>
      <c r="BM216" s="14">
        <f t="shared" si="120"/>
        <v>76.806032077780756</v>
      </c>
    </row>
    <row r="217" spans="1:65" x14ac:dyDescent="0.2">
      <c r="A217" s="135">
        <v>45176</v>
      </c>
      <c r="B217" s="5">
        <v>317857</v>
      </c>
      <c r="C217" s="130">
        <v>8139</v>
      </c>
      <c r="D217" s="214">
        <v>13.9</v>
      </c>
      <c r="E217" s="214">
        <v>17696</v>
      </c>
      <c r="F217" s="186">
        <v>5.7599999999999998E-2</v>
      </c>
      <c r="G217" s="165">
        <f>H217+I217</f>
        <v>3564</v>
      </c>
      <c r="H217" s="208">
        <v>1234</v>
      </c>
      <c r="I217" s="198">
        <v>2330</v>
      </c>
      <c r="J217" s="198"/>
      <c r="K217" s="198"/>
      <c r="L217" s="198"/>
      <c r="M217" s="14">
        <v>435</v>
      </c>
      <c r="N217" s="170">
        <v>54653</v>
      </c>
      <c r="O217" s="14">
        <v>0</v>
      </c>
      <c r="P217" s="213">
        <f t="shared" si="113"/>
        <v>3833.74</v>
      </c>
      <c r="Q217" s="180">
        <v>2523</v>
      </c>
      <c r="R217" s="180">
        <v>35</v>
      </c>
      <c r="S217" s="180">
        <v>156</v>
      </c>
      <c r="T217" s="159">
        <v>1119.74</v>
      </c>
      <c r="U217" s="159">
        <v>0</v>
      </c>
      <c r="V217" s="5">
        <v>203136</v>
      </c>
      <c r="W217" s="194">
        <v>0</v>
      </c>
      <c r="X217" s="194">
        <v>0</v>
      </c>
      <c r="Y217" s="194">
        <v>965</v>
      </c>
      <c r="Z217" s="194">
        <v>2355</v>
      </c>
      <c r="AA217" s="194">
        <v>249</v>
      </c>
      <c r="AB217" s="194"/>
      <c r="AC217" s="187">
        <v>2022</v>
      </c>
      <c r="AD217" s="188">
        <v>0</v>
      </c>
      <c r="AE217" s="215">
        <f t="shared" si="105"/>
        <v>5591</v>
      </c>
      <c r="AF217" s="5">
        <v>91926</v>
      </c>
      <c r="AK217" s="233">
        <f t="shared" ref="AK217:AK222" si="122">AL217+AM217</f>
        <v>2133</v>
      </c>
      <c r="AL217" s="170">
        <v>2133</v>
      </c>
      <c r="AM217" s="14"/>
      <c r="AN217" s="14">
        <v>48270</v>
      </c>
      <c r="AO217" s="15">
        <v>194828</v>
      </c>
      <c r="AP217" s="125">
        <f t="shared" si="106"/>
        <v>0.61294229795159461</v>
      </c>
      <c r="AQ217" s="125">
        <v>1.4</v>
      </c>
      <c r="AR217" s="159">
        <v>82533</v>
      </c>
      <c r="AS217" s="159">
        <v>21174</v>
      </c>
      <c r="AT217" s="159"/>
      <c r="AU217" s="101">
        <v>45584</v>
      </c>
      <c r="AV217" s="125">
        <f t="shared" si="121"/>
        <v>0.21417410974117287</v>
      </c>
      <c r="AW217" s="125">
        <f t="shared" si="104"/>
        <v>0.18452322899920404</v>
      </c>
      <c r="AX217" s="125">
        <f t="shared" si="114"/>
        <v>2.9650880741968838E-2</v>
      </c>
      <c r="AY217" s="125">
        <f t="shared" si="107"/>
        <v>0.84289131310491527</v>
      </c>
      <c r="AZ217" s="125">
        <f t="shared" si="108"/>
        <v>0.79746552695079864</v>
      </c>
      <c r="BA217" s="125">
        <f t="shared" si="109"/>
        <v>0.60698251417769378</v>
      </c>
      <c r="BB217" s="125">
        <f t="shared" si="103"/>
        <v>0.65234649138543455</v>
      </c>
      <c r="BC217" s="14">
        <f t="shared" si="115"/>
        <v>267918.90410958906</v>
      </c>
      <c r="BD217" s="14">
        <f t="shared" si="116"/>
        <v>123300</v>
      </c>
      <c r="BE217" s="14">
        <f t="shared" si="117"/>
        <v>144618.90410958903</v>
      </c>
      <c r="BF217" s="14">
        <v>30</v>
      </c>
      <c r="BG217" s="14"/>
      <c r="BH217" s="179">
        <f t="shared" si="110"/>
        <v>0</v>
      </c>
      <c r="BI217" s="179">
        <f t="shared" si="111"/>
        <v>0</v>
      </c>
      <c r="BJ217" s="259">
        <f t="shared" si="118"/>
        <v>1</v>
      </c>
      <c r="BK217" s="14">
        <f t="shared" si="112"/>
        <v>366611.74</v>
      </c>
      <c r="BL217" s="14">
        <f t="shared" si="119"/>
        <v>298535</v>
      </c>
      <c r="BM217" s="14">
        <f t="shared" si="120"/>
        <v>81.430834702674829</v>
      </c>
    </row>
    <row r="218" spans="1:65" x14ac:dyDescent="0.2">
      <c r="A218" s="135">
        <v>45207</v>
      </c>
      <c r="B218" s="5">
        <v>306129</v>
      </c>
      <c r="C218" s="130">
        <v>6718.82</v>
      </c>
      <c r="D218" s="214">
        <v>13.46</v>
      </c>
      <c r="E218" s="214">
        <v>10614</v>
      </c>
      <c r="F218" s="186">
        <v>5.6399999999999999E-2</v>
      </c>
      <c r="G218" s="165">
        <f>H218+I218+K218</f>
        <v>10181</v>
      </c>
      <c r="H218" s="208">
        <v>1251</v>
      </c>
      <c r="I218" s="198">
        <v>2289</v>
      </c>
      <c r="J218" s="198"/>
      <c r="K218" s="198">
        <v>6641</v>
      </c>
      <c r="L218" s="198"/>
      <c r="M218" s="14">
        <v>11570</v>
      </c>
      <c r="N218" s="170">
        <v>61107</v>
      </c>
      <c r="O218" s="14">
        <v>0</v>
      </c>
      <c r="P218" s="213">
        <f t="shared" si="113"/>
        <v>2651.3010000000004</v>
      </c>
      <c r="Q218" s="180">
        <v>2224.11</v>
      </c>
      <c r="R218" s="180">
        <v>113.55800000000001</v>
      </c>
      <c r="S218" s="180">
        <v>115.193</v>
      </c>
      <c r="T218" s="159">
        <v>0</v>
      </c>
      <c r="U218" s="159">
        <v>198.44</v>
      </c>
      <c r="V218" s="5">
        <v>170562</v>
      </c>
      <c r="W218" s="194">
        <v>0</v>
      </c>
      <c r="X218" s="194">
        <v>0</v>
      </c>
      <c r="Y218" s="194">
        <v>454</v>
      </c>
      <c r="Z218" s="194">
        <v>3784</v>
      </c>
      <c r="AA218" s="194">
        <v>176</v>
      </c>
      <c r="AB218" s="194"/>
      <c r="AC218" s="187">
        <v>3454</v>
      </c>
      <c r="AD218" s="188">
        <v>0</v>
      </c>
      <c r="AE218" s="215">
        <f t="shared" ref="AE218:AE223" si="123">SUM(W218:AD218)</f>
        <v>7868</v>
      </c>
      <c r="AF218" s="5">
        <v>90916</v>
      </c>
      <c r="AK218" s="233">
        <f t="shared" si="122"/>
        <v>1679</v>
      </c>
      <c r="AL218" s="170">
        <v>1679</v>
      </c>
      <c r="AM218" s="14"/>
      <c r="AN218" s="14">
        <v>56376</v>
      </c>
      <c r="AO218" s="15">
        <v>81314</v>
      </c>
      <c r="AP218" s="125">
        <f t="shared" si="106"/>
        <v>0.26562004906428338</v>
      </c>
      <c r="AQ218" s="125">
        <v>1.526290323</v>
      </c>
      <c r="AR218" s="159">
        <v>85211</v>
      </c>
      <c r="AS218" s="159">
        <v>23646</v>
      </c>
      <c r="AT218" s="159"/>
      <c r="AU218" s="101">
        <v>45584</v>
      </c>
      <c r="AV218" s="125">
        <f t="shared" si="121"/>
        <v>0.30502598904383449</v>
      </c>
      <c r="AW218" s="125">
        <f t="shared" si="104"/>
        <v>0.27066367446403311</v>
      </c>
      <c r="AX218" s="125">
        <f t="shared" si="114"/>
        <v>3.4362314579801378E-2</v>
      </c>
      <c r="AY218" s="125">
        <f t="shared" si="107"/>
        <v>0.90435579199153071</v>
      </c>
      <c r="AZ218" s="125">
        <f t="shared" si="108"/>
        <v>0.53628372352831655</v>
      </c>
      <c r="BA218" s="125">
        <f t="shared" si="109"/>
        <v>0.74700109051254093</v>
      </c>
      <c r="BB218" s="125">
        <f t="shared" si="103"/>
        <v>0.71193143563715455</v>
      </c>
      <c r="BC218" s="14">
        <f t="shared" si="115"/>
        <v>276849.53424657532</v>
      </c>
      <c r="BD218" s="14">
        <f t="shared" si="116"/>
        <v>127410</v>
      </c>
      <c r="BE218" s="14">
        <f t="shared" si="117"/>
        <v>149439.53424657535</v>
      </c>
      <c r="BF218" s="14">
        <v>31</v>
      </c>
      <c r="BG218" s="14"/>
      <c r="BH218" s="179">
        <f t="shared" si="110"/>
        <v>0</v>
      </c>
      <c r="BI218" s="179">
        <f t="shared" si="111"/>
        <v>0</v>
      </c>
      <c r="BJ218" s="259">
        <f t="shared" si="118"/>
        <v>1</v>
      </c>
      <c r="BK218" s="14">
        <f t="shared" si="112"/>
        <v>283548.30099999998</v>
      </c>
      <c r="BL218" s="14">
        <f t="shared" si="119"/>
        <v>190171</v>
      </c>
      <c r="BM218" s="14">
        <f t="shared" si="120"/>
        <v>67.068291126879302</v>
      </c>
    </row>
    <row r="219" spans="1:65" x14ac:dyDescent="0.2">
      <c r="A219" s="135">
        <v>45239</v>
      </c>
      <c r="B219" s="5">
        <v>250559</v>
      </c>
      <c r="C219" s="130">
        <v>5161</v>
      </c>
      <c r="D219" s="214">
        <v>13.44</v>
      </c>
      <c r="E219" s="214">
        <v>10220</v>
      </c>
      <c r="F219" s="186">
        <v>5.4399999999999997E-2</v>
      </c>
      <c r="G219" s="165">
        <f>H219+I219+K219</f>
        <v>4723</v>
      </c>
      <c r="H219" s="208">
        <v>872</v>
      </c>
      <c r="I219" s="198">
        <v>2960</v>
      </c>
      <c r="J219" s="198"/>
      <c r="K219" s="198">
        <v>891</v>
      </c>
      <c r="L219" s="198"/>
      <c r="M219" s="14">
        <v>18352</v>
      </c>
      <c r="N219" s="170">
        <v>70092</v>
      </c>
      <c r="O219" s="14">
        <v>0</v>
      </c>
      <c r="P219" s="213">
        <f t="shared" si="113"/>
        <v>2876.8910000000001</v>
      </c>
      <c r="Q219" s="180">
        <v>2169.9969999999998</v>
      </c>
      <c r="R219" s="180">
        <v>376.447</v>
      </c>
      <c r="S219" s="180">
        <v>330.447</v>
      </c>
      <c r="T219" s="159">
        <v>0</v>
      </c>
      <c r="U219" s="159">
        <v>0</v>
      </c>
      <c r="V219" s="5">
        <v>153670</v>
      </c>
      <c r="W219" s="194">
        <v>0</v>
      </c>
      <c r="X219" s="194">
        <v>0</v>
      </c>
      <c r="Y219" s="194">
        <v>40</v>
      </c>
      <c r="Z219" s="194">
        <v>3542</v>
      </c>
      <c r="AA219" s="194">
        <v>13</v>
      </c>
      <c r="AB219" s="194"/>
      <c r="AC219" s="187">
        <v>3398</v>
      </c>
      <c r="AD219" s="188">
        <v>0</v>
      </c>
      <c r="AE219" s="215">
        <f t="shared" si="123"/>
        <v>6993</v>
      </c>
      <c r="AF219" s="5">
        <v>94734</v>
      </c>
      <c r="AK219" s="233">
        <f t="shared" si="122"/>
        <v>1476</v>
      </c>
      <c r="AL219" s="170">
        <v>1476</v>
      </c>
      <c r="AM219" s="14"/>
      <c r="AN219" s="14">
        <v>54807</v>
      </c>
      <c r="AO219" s="15">
        <v>139148</v>
      </c>
      <c r="AP219" s="125">
        <f t="shared" si="106"/>
        <v>0.55535023687035789</v>
      </c>
      <c r="AQ219" s="125">
        <v>1.3108333329999999</v>
      </c>
      <c r="AR219" s="159">
        <v>80792</v>
      </c>
      <c r="AS219" s="159">
        <v>28166</v>
      </c>
      <c r="AT219" s="159"/>
      <c r="AU219" s="101">
        <v>45584</v>
      </c>
      <c r="AV219" s="125">
        <f t="shared" si="121"/>
        <v>0.411228058062173</v>
      </c>
      <c r="AW219" s="125">
        <f t="shared" si="104"/>
        <v>0.3718365734218288</v>
      </c>
      <c r="AX219" s="125">
        <f t="shared" si="114"/>
        <v>3.9391484640344199E-2</v>
      </c>
      <c r="AY219" s="125">
        <f t="shared" si="107"/>
        <v>1.0692846958584168</v>
      </c>
      <c r="AZ219" s="125">
        <f t="shared" si="108"/>
        <v>0.92718681029218664</v>
      </c>
      <c r="BA219" s="125">
        <f t="shared" si="109"/>
        <v>0.80236871217544092</v>
      </c>
      <c r="BB219" s="125">
        <f t="shared" si="103"/>
        <v>0.87615960323269748</v>
      </c>
      <c r="BC219" s="14">
        <f t="shared" si="115"/>
        <v>267918.90410958906</v>
      </c>
      <c r="BD219" s="14">
        <f t="shared" si="116"/>
        <v>123300</v>
      </c>
      <c r="BE219" s="14">
        <f t="shared" si="117"/>
        <v>144618.90410958903</v>
      </c>
      <c r="BF219" s="14">
        <v>30</v>
      </c>
      <c r="BG219" s="14"/>
      <c r="BH219" s="179">
        <f t="shared" si="110"/>
        <v>0</v>
      </c>
      <c r="BI219" s="179">
        <f t="shared" si="111"/>
        <v>0</v>
      </c>
      <c r="BJ219" s="259">
        <f t="shared" si="118"/>
        <v>1</v>
      </c>
      <c r="BK219" s="14">
        <f t="shared" si="112"/>
        <v>351142.891</v>
      </c>
      <c r="BL219" s="14">
        <f t="shared" si="119"/>
        <v>248106</v>
      </c>
      <c r="BM219" s="14">
        <f t="shared" si="120"/>
        <v>70.656705961904265</v>
      </c>
    </row>
    <row r="220" spans="1:65" x14ac:dyDescent="0.2">
      <c r="A220" s="135">
        <v>45270</v>
      </c>
      <c r="B220" s="5">
        <v>290686</v>
      </c>
      <c r="C220" s="130">
        <v>7174</v>
      </c>
      <c r="D220" s="214">
        <v>14.77</v>
      </c>
      <c r="E220" s="214">
        <v>14972</v>
      </c>
      <c r="F220" s="186">
        <v>5.5399999999999998E-2</v>
      </c>
      <c r="G220" s="165">
        <f>H220+I220+K220</f>
        <v>4158</v>
      </c>
      <c r="H220" s="208">
        <v>1092</v>
      </c>
      <c r="I220" s="198">
        <v>2327</v>
      </c>
      <c r="J220" s="198"/>
      <c r="K220" s="198">
        <v>739</v>
      </c>
      <c r="L220" s="198"/>
      <c r="M220" s="14">
        <v>45844</v>
      </c>
      <c r="N220" s="170">
        <v>16314</v>
      </c>
      <c r="O220" s="14">
        <v>0</v>
      </c>
      <c r="P220" s="213">
        <f t="shared" si="113"/>
        <v>2915.8140000000003</v>
      </c>
      <c r="Q220" s="180">
        <v>2133.1590000000001</v>
      </c>
      <c r="R220" s="180">
        <v>428.065</v>
      </c>
      <c r="S220" s="180">
        <v>354.59</v>
      </c>
      <c r="T220" s="159">
        <v>0</v>
      </c>
      <c r="U220" s="159">
        <v>0</v>
      </c>
      <c r="V220" s="5">
        <v>132516</v>
      </c>
      <c r="W220" s="194">
        <v>0</v>
      </c>
      <c r="X220" s="194">
        <v>0</v>
      </c>
      <c r="Y220" s="194">
        <v>454</v>
      </c>
      <c r="Z220" s="194">
        <v>4064</v>
      </c>
      <c r="AA220" s="194">
        <v>287</v>
      </c>
      <c r="AB220" s="194"/>
      <c r="AC220" s="187">
        <v>3720</v>
      </c>
      <c r="AD220" s="188">
        <v>0</v>
      </c>
      <c r="AE220" s="215">
        <f t="shared" si="123"/>
        <v>8525</v>
      </c>
      <c r="AF220" s="5">
        <v>82884</v>
      </c>
      <c r="AK220" s="233">
        <f t="shared" si="122"/>
        <v>2343</v>
      </c>
      <c r="AL220" s="170">
        <v>2343</v>
      </c>
      <c r="AM220" s="14"/>
      <c r="AN220" s="14">
        <v>49487</v>
      </c>
      <c r="AO220" s="15">
        <v>173329</v>
      </c>
      <c r="AP220" s="125">
        <f t="shared" si="106"/>
        <v>0.59627570643237038</v>
      </c>
      <c r="AQ220" s="125">
        <v>1.510629032</v>
      </c>
      <c r="AR220" s="159">
        <v>88598</v>
      </c>
      <c r="AS220" s="159">
        <v>45219</v>
      </c>
      <c r="AT220" s="159"/>
      <c r="AU220" s="101">
        <v>45584</v>
      </c>
      <c r="AV220" s="125">
        <f t="shared" si="121"/>
        <v>0.26749418272637826</v>
      </c>
      <c r="AW220" s="125">
        <f t="shared" si="104"/>
        <v>0.2281362019498703</v>
      </c>
      <c r="AX220" s="125">
        <f t="shared" si="114"/>
        <v>3.9357980776507956E-2</v>
      </c>
      <c r="AY220" s="125">
        <f t="shared" si="107"/>
        <v>0.95240064621817122</v>
      </c>
      <c r="AZ220" s="125">
        <f t="shared" si="108"/>
        <v>0.82441190838224065</v>
      </c>
      <c r="BA220" s="125">
        <f t="shared" si="109"/>
        <v>0.96146880376709232</v>
      </c>
      <c r="BB220" s="125">
        <f t="shared" si="103"/>
        <v>0.94110043671236432</v>
      </c>
      <c r="BC220" s="14">
        <f>BD220+BE220</f>
        <v>276849.53424657532</v>
      </c>
      <c r="BD220" s="14">
        <f t="shared" si="116"/>
        <v>127410</v>
      </c>
      <c r="BE220" s="14">
        <f t="shared" si="117"/>
        <v>149439.53424657535</v>
      </c>
      <c r="BF220" s="14">
        <v>31</v>
      </c>
      <c r="BG220" s="14"/>
      <c r="BH220" s="179">
        <f t="shared" si="110"/>
        <v>0</v>
      </c>
      <c r="BI220" s="179">
        <f t="shared" si="111"/>
        <v>0</v>
      </c>
      <c r="BJ220" s="259">
        <f t="shared" si="118"/>
        <v>1</v>
      </c>
      <c r="BK220" s="14">
        <f t="shared" si="112"/>
        <v>384902.81400000001</v>
      </c>
      <c r="BL220" s="14">
        <f t="shared" si="119"/>
        <v>307146</v>
      </c>
      <c r="BM220" s="14">
        <f t="shared" si="120"/>
        <v>79.798325402733994</v>
      </c>
    </row>
    <row r="221" spans="1:65" x14ac:dyDescent="0.2">
      <c r="A221" s="135">
        <v>45302</v>
      </c>
      <c r="B221" s="5">
        <v>287176</v>
      </c>
      <c r="C221" s="130">
        <v>7215.34</v>
      </c>
      <c r="D221" s="214">
        <v>14.85</v>
      </c>
      <c r="E221" s="214">
        <v>9926</v>
      </c>
      <c r="F221" s="186">
        <v>5.8299999999999998E-2</v>
      </c>
      <c r="G221" s="165">
        <f>H221+I221+K221</f>
        <v>3093</v>
      </c>
      <c r="H221" s="208">
        <v>857</v>
      </c>
      <c r="I221" s="198">
        <v>1692</v>
      </c>
      <c r="J221" s="198"/>
      <c r="K221" s="198">
        <v>544</v>
      </c>
      <c r="L221" s="198"/>
      <c r="M221" s="14">
        <v>90821</v>
      </c>
      <c r="N221" s="170">
        <v>158</v>
      </c>
      <c r="O221" s="14">
        <v>0</v>
      </c>
      <c r="P221" s="213">
        <f t="shared" si="113"/>
        <v>4647.4970000000003</v>
      </c>
      <c r="Q221" s="180">
        <v>872.78800000000001</v>
      </c>
      <c r="R221" s="180">
        <v>0</v>
      </c>
      <c r="S221" s="180">
        <v>344.709</v>
      </c>
      <c r="T221" s="159">
        <v>3430</v>
      </c>
      <c r="U221" s="159">
        <v>0</v>
      </c>
      <c r="V221" s="5">
        <v>193970.59270446136</v>
      </c>
      <c r="W221" s="194">
        <v>0</v>
      </c>
      <c r="X221" s="194">
        <v>0</v>
      </c>
      <c r="Y221" s="194">
        <v>0</v>
      </c>
      <c r="Z221" s="194">
        <v>0</v>
      </c>
      <c r="AA221" s="194">
        <v>0</v>
      </c>
      <c r="AB221" s="194"/>
      <c r="AC221" s="187">
        <v>3098</v>
      </c>
      <c r="AD221" s="188">
        <v>0</v>
      </c>
      <c r="AE221" s="215">
        <f t="shared" si="123"/>
        <v>3098</v>
      </c>
      <c r="AF221" s="5">
        <v>110271.03803230077</v>
      </c>
      <c r="AK221" s="233">
        <f t="shared" si="122"/>
        <v>3104</v>
      </c>
      <c r="AL221" s="170">
        <v>3104</v>
      </c>
      <c r="AM221" s="14"/>
      <c r="AN221" s="14">
        <v>68372.693542627123</v>
      </c>
      <c r="AO221" s="15">
        <v>149782</v>
      </c>
      <c r="AP221" s="125">
        <f t="shared" si="106"/>
        <v>0.52156865476223635</v>
      </c>
      <c r="AQ221" s="125">
        <v>1.5519354839999999</v>
      </c>
      <c r="AR221" s="159">
        <v>91444</v>
      </c>
      <c r="AS221" s="159">
        <v>28634</v>
      </c>
      <c r="AT221" s="159">
        <v>4330</v>
      </c>
      <c r="AU221" s="101">
        <v>45584</v>
      </c>
      <c r="AV221" s="125">
        <f t="shared" si="121"/>
        <v>0.35454737512884088</v>
      </c>
      <c r="AW221" s="125">
        <f t="shared" si="104"/>
        <v>0.32757612056717833</v>
      </c>
      <c r="AX221" s="125">
        <f t="shared" si="114"/>
        <v>2.697125456166255E-2</v>
      </c>
      <c r="AY221" s="125">
        <f t="shared" si="107"/>
        <v>0.9640413343962424</v>
      </c>
      <c r="AZ221" s="125">
        <f t="shared" si="108"/>
        <v>0.84914477532941468</v>
      </c>
      <c r="BA221" s="125">
        <f t="shared" si="109"/>
        <v>0.65685214559366323</v>
      </c>
      <c r="BB221" s="125">
        <f t="shared" si="103"/>
        <v>1.1277093652583488</v>
      </c>
      <c r="BC221" s="14">
        <f t="shared" si="115"/>
        <v>276849.53424657532</v>
      </c>
      <c r="BD221" s="14">
        <f t="shared" si="116"/>
        <v>127410</v>
      </c>
      <c r="BE221" s="14">
        <f t="shared" si="117"/>
        <v>149439.53424657535</v>
      </c>
      <c r="BF221" s="14">
        <v>31</v>
      </c>
      <c r="BG221" s="14"/>
      <c r="BH221" s="179">
        <f t="shared" si="110"/>
        <v>0</v>
      </c>
      <c r="BI221" s="179">
        <f t="shared" si="111"/>
        <v>0</v>
      </c>
      <c r="BJ221" s="259">
        <f t="shared" si="118"/>
        <v>1</v>
      </c>
      <c r="BK221" s="14">
        <f t="array" ref="BK221">SUM(G221,M221,N221:O221,P221,AE221,AO221,AR221,AS221:AT221+AK221)</f>
        <v>382215.49699999997</v>
      </c>
      <c r="BL221" s="14">
        <f t="shared" ref="BL221:BL227" si="124">SUM(AO221,AR221,AS221:AT221)</f>
        <v>274190</v>
      </c>
      <c r="BM221" s="14">
        <f>(BL221*100)/BK221</f>
        <v>71.737018030956506</v>
      </c>
    </row>
    <row r="222" spans="1:65" ht="13.2" x14ac:dyDescent="0.25">
      <c r="A222" s="135">
        <v>45334</v>
      </c>
      <c r="B222" s="5">
        <v>280682.13320000004</v>
      </c>
      <c r="C222" s="130">
        <v>7006.0810000000029</v>
      </c>
      <c r="D222" s="221">
        <v>13.929372730444159</v>
      </c>
      <c r="E222" s="214">
        <v>12422</v>
      </c>
      <c r="F222" s="222">
        <v>5.53</v>
      </c>
      <c r="G222" s="165">
        <f t="shared" ref="G222:G240" si="125">H222+I222+J222+K222</f>
        <v>4465</v>
      </c>
      <c r="H222" s="208">
        <v>2065</v>
      </c>
      <c r="I222" s="198">
        <v>2101</v>
      </c>
      <c r="J222" s="198"/>
      <c r="K222" s="198">
        <v>299</v>
      </c>
      <c r="L222" s="198"/>
      <c r="M222" s="14">
        <v>410</v>
      </c>
      <c r="N222" s="170">
        <v>1</v>
      </c>
      <c r="O222" s="14">
        <v>0</v>
      </c>
      <c r="P222" s="213">
        <f t="shared" si="113"/>
        <v>6954.51</v>
      </c>
      <c r="Q222" s="180">
        <v>2797.0309999999999</v>
      </c>
      <c r="R222" s="180">
        <v>802.24400000000003</v>
      </c>
      <c r="S222" s="180">
        <v>331.55099999999999</v>
      </c>
      <c r="T222" s="159">
        <v>2820.8339999999998</v>
      </c>
      <c r="U222" s="159">
        <v>202.85</v>
      </c>
      <c r="V222" s="5">
        <v>131025</v>
      </c>
      <c r="W222" s="194">
        <v>0</v>
      </c>
      <c r="X222" s="194">
        <v>0</v>
      </c>
      <c r="Y222" s="194">
        <v>0</v>
      </c>
      <c r="Z222" s="194">
        <v>761</v>
      </c>
      <c r="AA222" s="194">
        <v>0</v>
      </c>
      <c r="AB222" s="194"/>
      <c r="AC222" s="187">
        <v>1242</v>
      </c>
      <c r="AD222" s="188">
        <v>0</v>
      </c>
      <c r="AE222" s="215">
        <f t="shared" si="123"/>
        <v>2003</v>
      </c>
      <c r="AF222" s="5">
        <v>87655</v>
      </c>
      <c r="AK222" s="233">
        <f t="shared" si="122"/>
        <v>1226</v>
      </c>
      <c r="AL222" s="170">
        <v>1226</v>
      </c>
      <c r="AM222" s="14"/>
      <c r="AN222" s="14">
        <v>54805</v>
      </c>
      <c r="AO222" s="15">
        <v>185359</v>
      </c>
      <c r="AP222" s="125">
        <f t="shared" si="106"/>
        <v>0.66038759890684762</v>
      </c>
      <c r="AQ222" s="125">
        <v>1.43</v>
      </c>
      <c r="AR222" s="159">
        <v>83376</v>
      </c>
      <c r="AS222" s="159">
        <v>19654</v>
      </c>
      <c r="AT222" s="159">
        <v>4619</v>
      </c>
      <c r="AU222" s="101">
        <v>45584</v>
      </c>
      <c r="AV222" s="125">
        <f t="shared" ref="AV222:AV240" si="126">(G222+M222+N222+P222+AE222+AK222)/B222</f>
        <v>5.3653254762993222E-2</v>
      </c>
      <c r="AW222" s="125">
        <f t="shared" si="104"/>
        <v>1.737196430855685E-2</v>
      </c>
      <c r="AX222" s="125">
        <f t="shared" ref="AX222:AX227" si="127">AV222-AW222</f>
        <v>3.6281290454436371E-2</v>
      </c>
      <c r="AY222" s="125">
        <f t="shared" si="107"/>
        <v>0.92271022391033575</v>
      </c>
      <c r="AZ222" s="125">
        <f t="shared" si="108"/>
        <v>0.67775956321540443</v>
      </c>
      <c r="BA222" s="125">
        <f t="shared" si="109"/>
        <v>0.90967372638809385</v>
      </c>
      <c r="BB222" s="125">
        <f t="shared" si="103"/>
        <v>0.77042366145813301</v>
      </c>
      <c r="BC222" s="14">
        <f t="shared" si="115"/>
        <v>258988.27397260274</v>
      </c>
      <c r="BD222" s="14">
        <f t="shared" si="116"/>
        <v>119190</v>
      </c>
      <c r="BE222" s="14">
        <f t="shared" si="117"/>
        <v>139798.27397260274</v>
      </c>
      <c r="BF222" s="14">
        <v>29</v>
      </c>
      <c r="BG222" s="14"/>
      <c r="BH222" s="179">
        <f t="shared" si="110"/>
        <v>0</v>
      </c>
      <c r="BI222" s="179">
        <f t="shared" si="111"/>
        <v>0</v>
      </c>
      <c r="BJ222" s="259">
        <f t="shared" si="118"/>
        <v>1</v>
      </c>
      <c r="BK222" s="14">
        <f t="array" ref="BK222">SUM(G222,M222,N222:O222,P222,AE222,AO222,AR222,AS222:AT222+AK222)</f>
        <v>309293.51</v>
      </c>
      <c r="BL222" s="14">
        <f t="shared" si="124"/>
        <v>293008</v>
      </c>
      <c r="BM222" s="14">
        <f t="shared" si="120"/>
        <v>94.734609853274961</v>
      </c>
    </row>
    <row r="223" spans="1:65" ht="13.2" x14ac:dyDescent="0.25">
      <c r="A223" s="135">
        <v>45363</v>
      </c>
      <c r="B223" s="5">
        <v>313395</v>
      </c>
      <c r="C223" s="130">
        <v>8978</v>
      </c>
      <c r="D223" s="221">
        <v>14.12</v>
      </c>
      <c r="E223" s="214">
        <v>15687</v>
      </c>
      <c r="F223" s="222">
        <v>5.82</v>
      </c>
      <c r="G223" s="165">
        <f t="shared" si="125"/>
        <v>4347</v>
      </c>
      <c r="H223" s="208">
        <v>2240</v>
      </c>
      <c r="I223" s="198">
        <v>1582</v>
      </c>
      <c r="J223" s="198"/>
      <c r="K223" s="198">
        <v>525</v>
      </c>
      <c r="L223" s="198"/>
      <c r="M223" s="14">
        <v>30</v>
      </c>
      <c r="N223" s="170">
        <v>0</v>
      </c>
      <c r="O223" s="14">
        <v>0</v>
      </c>
      <c r="P223" s="213">
        <f t="shared" ref="P223:P228" si="128">Q223+R223+S223+T223+U223</f>
        <v>6073.1669999999995</v>
      </c>
      <c r="Q223" s="180">
        <v>3188.7730000000001</v>
      </c>
      <c r="R223" s="180">
        <v>360.78500000000003</v>
      </c>
      <c r="S223" s="180">
        <v>383.43</v>
      </c>
      <c r="T223" s="159">
        <v>1651.3489999999999</v>
      </c>
      <c r="U223" s="159">
        <v>488.83</v>
      </c>
      <c r="V223" s="5">
        <v>137936</v>
      </c>
      <c r="W223" s="194">
        <v>0</v>
      </c>
      <c r="X223" s="194">
        <v>0</v>
      </c>
      <c r="Y223" s="194">
        <v>0</v>
      </c>
      <c r="Z223" s="194">
        <v>2982</v>
      </c>
      <c r="AA223" s="194">
        <v>0</v>
      </c>
      <c r="AB223" s="194"/>
      <c r="AC223" s="187">
        <v>2971</v>
      </c>
      <c r="AD223" s="188">
        <v>0</v>
      </c>
      <c r="AE223" s="215">
        <f t="shared" si="123"/>
        <v>5953</v>
      </c>
      <c r="AF223" s="5">
        <v>82315</v>
      </c>
      <c r="AK223" s="233">
        <f t="shared" ref="AK223:AK228" si="129">SUM(AL223+AM223)</f>
        <v>3044</v>
      </c>
      <c r="AL223" s="170">
        <v>3044</v>
      </c>
      <c r="AM223" s="14"/>
      <c r="AN223" s="14">
        <v>45965</v>
      </c>
      <c r="AO223" s="15">
        <v>208815</v>
      </c>
      <c r="AP223" s="125">
        <f t="shared" si="106"/>
        <v>0.66629971760876849</v>
      </c>
      <c r="AQ223" s="125">
        <v>1.43</v>
      </c>
      <c r="AR223" s="159">
        <v>93031</v>
      </c>
      <c r="AS223" s="159">
        <v>25330</v>
      </c>
      <c r="AT223" s="159">
        <v>4619</v>
      </c>
      <c r="AU223" s="101">
        <v>45584</v>
      </c>
      <c r="AV223" s="125">
        <f t="shared" si="126"/>
        <v>6.2053213995117984E-2</v>
      </c>
      <c r="AW223" s="125">
        <f t="shared" si="104"/>
        <v>1.3966400229742019E-2</v>
      </c>
      <c r="AX223" s="125">
        <f t="shared" si="127"/>
        <v>4.8086813765375963E-2</v>
      </c>
      <c r="AY223" s="125">
        <f t="shared" si="107"/>
        <v>0.88338848496809241</v>
      </c>
      <c r="AZ223" s="125">
        <f t="shared" si="108"/>
        <v>0.68026611783851054</v>
      </c>
      <c r="BA223" s="125">
        <f t="shared" si="109"/>
        <v>0.92368924718710121</v>
      </c>
      <c r="BB223" s="125">
        <f t="shared" si="103"/>
        <v>1.0669587786498969</v>
      </c>
      <c r="BC223" s="14">
        <f t="shared" ref="BC223:BC228" si="130">BD223+BE223</f>
        <v>276849.53424657532</v>
      </c>
      <c r="BD223" s="14">
        <f t="shared" si="116"/>
        <v>127410</v>
      </c>
      <c r="BE223" s="14">
        <f t="shared" ref="BE223:BE228" si="131">$BE$4*BF223</f>
        <v>149439.53424657535</v>
      </c>
      <c r="BF223" s="14">
        <v>31</v>
      </c>
      <c r="BG223" s="14"/>
      <c r="BH223" s="179">
        <f t="shared" si="110"/>
        <v>0</v>
      </c>
      <c r="BI223" s="179">
        <f t="shared" si="111"/>
        <v>0</v>
      </c>
      <c r="BJ223" s="259">
        <f t="shared" ref="BJ223:BJ228" si="132">1-BI223-BH223</f>
        <v>1</v>
      </c>
      <c r="BK223" s="14">
        <f t="array" ref="BK223">SUM(G223,M223,N223:O223,P223,AE223,AO223,AR223,AS223:AT223+AK223)</f>
        <v>354286.16700000002</v>
      </c>
      <c r="BL223" s="14">
        <f t="shared" si="124"/>
        <v>331795</v>
      </c>
      <c r="BM223" s="14">
        <f t="shared" si="120"/>
        <v>93.651694845878637</v>
      </c>
    </row>
    <row r="224" spans="1:65" ht="13.2" x14ac:dyDescent="0.25">
      <c r="A224" s="135">
        <v>45394</v>
      </c>
      <c r="B224" s="5">
        <v>284592</v>
      </c>
      <c r="C224" s="130">
        <v>7602.14</v>
      </c>
      <c r="D224" s="221">
        <v>14.03</v>
      </c>
      <c r="E224" s="214">
        <v>9001</v>
      </c>
      <c r="F224" s="222">
        <v>5.83</v>
      </c>
      <c r="G224" s="165">
        <f t="shared" si="125"/>
        <v>4564</v>
      </c>
      <c r="H224" s="208">
        <v>2084</v>
      </c>
      <c r="I224" s="198">
        <v>1882</v>
      </c>
      <c r="J224" s="198"/>
      <c r="K224" s="198">
        <v>598</v>
      </c>
      <c r="L224" s="198"/>
      <c r="M224" s="14">
        <v>11216</v>
      </c>
      <c r="N224" s="170">
        <v>0</v>
      </c>
      <c r="O224" s="14">
        <v>0</v>
      </c>
      <c r="P224" s="213">
        <f t="shared" si="128"/>
        <v>4643.0740000000005</v>
      </c>
      <c r="Q224" s="180">
        <v>1985.7270000000001</v>
      </c>
      <c r="R224" s="180">
        <v>345.64800000000002</v>
      </c>
      <c r="S224" s="180">
        <v>33.473999999999997</v>
      </c>
      <c r="T224" s="159">
        <v>2068.4650000000001</v>
      </c>
      <c r="U224" s="159">
        <v>209.76</v>
      </c>
      <c r="V224" s="5">
        <v>165907.21677281748</v>
      </c>
      <c r="W224" s="194">
        <v>0</v>
      </c>
      <c r="X224" s="194">
        <v>0</v>
      </c>
      <c r="Y224" s="194">
        <v>0</v>
      </c>
      <c r="Z224" s="194">
        <v>3324</v>
      </c>
      <c r="AA224" s="194">
        <v>0</v>
      </c>
      <c r="AB224" s="194"/>
      <c r="AC224" s="187">
        <v>3416</v>
      </c>
      <c r="AD224" s="188">
        <v>0</v>
      </c>
      <c r="AE224" s="215">
        <f t="shared" ref="AE224:AE229" si="133">SUM(W224:AD224)</f>
        <v>6740</v>
      </c>
      <c r="AF224" s="5">
        <v>93051.943348375979</v>
      </c>
      <c r="AK224" s="233">
        <f t="shared" si="129"/>
        <v>1624</v>
      </c>
      <c r="AL224" s="170">
        <v>1026</v>
      </c>
      <c r="AM224" s="14">
        <v>598</v>
      </c>
      <c r="AN224" s="14">
        <v>59605</v>
      </c>
      <c r="AO224" s="15">
        <v>268010</v>
      </c>
      <c r="AP224" s="125">
        <f t="shared" si="106"/>
        <v>0.94173413166919662</v>
      </c>
      <c r="AQ224" s="125">
        <v>1.43</v>
      </c>
      <c r="AR224" s="159">
        <v>89651</v>
      </c>
      <c r="AS224" s="159">
        <v>22367</v>
      </c>
      <c r="AT224" s="159">
        <v>4619</v>
      </c>
      <c r="AU224" s="101">
        <v>45584</v>
      </c>
      <c r="AV224" s="125">
        <f t="shared" si="126"/>
        <v>0.101152084387474</v>
      </c>
      <c r="AW224" s="125">
        <f t="shared" si="104"/>
        <v>5.5447798954292464E-2</v>
      </c>
      <c r="AX224" s="125">
        <f t="shared" si="127"/>
        <v>4.5704285433181537E-2</v>
      </c>
      <c r="AY224" s="125">
        <f t="shared" si="107"/>
        <v>0.94141403872768403</v>
      </c>
      <c r="AZ224" s="125">
        <f t="shared" si="108"/>
        <v>0.99718193062348903</v>
      </c>
      <c r="BA224" s="125">
        <f t="shared" ref="BA224:BA229" si="134">BD224/V224</f>
        <v>0.74318647734799248</v>
      </c>
      <c r="BB224" s="125">
        <f t="shared" ref="BB224:BB229" si="135">BE223/V223</f>
        <v>1.0833976209733163</v>
      </c>
      <c r="BC224" s="14">
        <f t="shared" si="130"/>
        <v>267918.90410958906</v>
      </c>
      <c r="BD224" s="14">
        <f t="shared" ref="BD224:BD229" si="136">$BD$4*BF224</f>
        <v>123300</v>
      </c>
      <c r="BE224" s="14">
        <f t="shared" si="131"/>
        <v>144618.90410958903</v>
      </c>
      <c r="BF224" s="14">
        <v>30</v>
      </c>
      <c r="BG224" s="14"/>
      <c r="BH224" s="179">
        <f t="shared" ref="BH224:BH229" si="137">O224/(M224+N224)</f>
        <v>0</v>
      </c>
      <c r="BI224" s="179">
        <f t="shared" ref="BI224:BI229" si="138">AD224/(M224+N224)</f>
        <v>0</v>
      </c>
      <c r="BJ224" s="259">
        <f t="shared" si="132"/>
        <v>1</v>
      </c>
      <c r="BK224" s="14">
        <f t="array" ref="BK224">SUM(G224,M224,N224:O224,P224,AE224,AO224,AR224,AS224:AT224+AK224)</f>
        <v>415058.07400000002</v>
      </c>
      <c r="BL224" s="14">
        <f t="shared" si="124"/>
        <v>384647</v>
      </c>
      <c r="BM224" s="14">
        <f t="shared" ref="BM224:BM229" si="139">(BL224*100)/BK224</f>
        <v>92.673055674613863</v>
      </c>
    </row>
    <row r="225" spans="1:65" ht="13.2" x14ac:dyDescent="0.25">
      <c r="A225" s="135">
        <v>45424</v>
      </c>
      <c r="B225" s="5">
        <v>310851</v>
      </c>
      <c r="C225" s="130">
        <v>7613.08</v>
      </c>
      <c r="D225" s="221">
        <v>13.99</v>
      </c>
      <c r="E225" s="214">
        <v>14401</v>
      </c>
      <c r="F225" s="222">
        <v>5.71</v>
      </c>
      <c r="G225" s="165">
        <f t="shared" si="125"/>
        <v>4435</v>
      </c>
      <c r="H225" s="208">
        <v>1742</v>
      </c>
      <c r="I225" s="198">
        <v>1991</v>
      </c>
      <c r="J225" s="198"/>
      <c r="K225" s="198">
        <v>702</v>
      </c>
      <c r="L225" s="198"/>
      <c r="M225" s="14">
        <v>81806</v>
      </c>
      <c r="N225" s="170">
        <v>0</v>
      </c>
      <c r="O225" s="14">
        <v>0</v>
      </c>
      <c r="P225" s="213">
        <f t="shared" si="128"/>
        <v>4420.4639999999999</v>
      </c>
      <c r="Q225" s="180">
        <v>159.035</v>
      </c>
      <c r="R225" s="180">
        <v>346.93299999999999</v>
      </c>
      <c r="S225" s="180">
        <v>441.49599999999998</v>
      </c>
      <c r="T225" s="159">
        <v>3473</v>
      </c>
      <c r="U225" s="159">
        <v>0</v>
      </c>
      <c r="V225" s="5">
        <v>188662</v>
      </c>
      <c r="W225" s="194">
        <v>0</v>
      </c>
      <c r="X225" s="194">
        <v>0</v>
      </c>
      <c r="Y225" s="194">
        <v>2629</v>
      </c>
      <c r="Z225" s="194">
        <v>3491</v>
      </c>
      <c r="AA225" s="194">
        <v>785</v>
      </c>
      <c r="AB225" s="194"/>
      <c r="AC225" s="187">
        <v>4204</v>
      </c>
      <c r="AD225" s="188">
        <v>0</v>
      </c>
      <c r="AE225" s="215">
        <f t="shared" si="133"/>
        <v>11109</v>
      </c>
      <c r="AF225" s="5">
        <v>87722</v>
      </c>
      <c r="AK225" s="233">
        <f t="shared" si="129"/>
        <v>1083</v>
      </c>
      <c r="AL225" s="170">
        <v>25</v>
      </c>
      <c r="AM225" s="14">
        <v>1058</v>
      </c>
      <c r="AN225" s="14">
        <v>55118</v>
      </c>
      <c r="AO225" s="15">
        <v>140498</v>
      </c>
      <c r="AP225" s="125">
        <f t="shared" si="106"/>
        <v>0.45197860068006857</v>
      </c>
      <c r="AQ225" s="125">
        <v>1.43</v>
      </c>
      <c r="AR225" s="159">
        <v>98967</v>
      </c>
      <c r="AS225" s="159">
        <v>21314</v>
      </c>
      <c r="AT225" s="159">
        <v>4619</v>
      </c>
      <c r="AU225" s="101">
        <v>45584</v>
      </c>
      <c r="AV225" s="125">
        <f t="shared" si="126"/>
        <v>0.33087705685360513</v>
      </c>
      <c r="AW225" s="125">
        <f t="shared" si="104"/>
        <v>0.27743516990455236</v>
      </c>
      <c r="AX225" s="125">
        <f t="shared" si="127"/>
        <v>5.3441886949052775E-2</v>
      </c>
      <c r="AY225" s="125">
        <f t="shared" si="107"/>
        <v>0.89061812330208145</v>
      </c>
      <c r="AZ225" s="125">
        <f t="shared" si="108"/>
        <v>0.72941377058462098</v>
      </c>
      <c r="BA225" s="125">
        <f t="shared" si="134"/>
        <v>0.67533472559391927</v>
      </c>
      <c r="BB225" s="125">
        <f t="shared" si="135"/>
        <v>0.87168543311543056</v>
      </c>
      <c r="BC225" s="14">
        <f t="shared" si="130"/>
        <v>276849.53424657532</v>
      </c>
      <c r="BD225" s="14">
        <f t="shared" si="136"/>
        <v>127410</v>
      </c>
      <c r="BE225" s="14">
        <f t="shared" si="131"/>
        <v>149439.53424657535</v>
      </c>
      <c r="BF225" s="14">
        <v>31</v>
      </c>
      <c r="BG225" s="14"/>
      <c r="BH225" s="179">
        <f t="shared" si="137"/>
        <v>0</v>
      </c>
      <c r="BI225" s="179">
        <f t="shared" si="138"/>
        <v>0</v>
      </c>
      <c r="BJ225" s="259">
        <f t="shared" si="132"/>
        <v>1</v>
      </c>
      <c r="BK225" s="14">
        <f t="array" ref="BK225">SUM(G225,M225,N225:O225,P225,AE225,AO225,AR225,AS225:AT225+AK225)</f>
        <v>369334.46400000004</v>
      </c>
      <c r="BL225" s="14">
        <f t="shared" si="124"/>
        <v>265398</v>
      </c>
      <c r="BM225" s="14">
        <f t="shared" si="139"/>
        <v>71.858444274509935</v>
      </c>
    </row>
    <row r="226" spans="1:65" ht="14.4" x14ac:dyDescent="0.3">
      <c r="A226" s="135">
        <v>45455</v>
      </c>
      <c r="B226" s="5">
        <v>279193</v>
      </c>
      <c r="C226" s="130">
        <v>6970.64</v>
      </c>
      <c r="D226" s="229">
        <v>13.66</v>
      </c>
      <c r="E226" s="229">
        <v>7422</v>
      </c>
      <c r="F226" s="229">
        <v>5.43</v>
      </c>
      <c r="G226" s="165">
        <f t="shared" si="125"/>
        <v>3587</v>
      </c>
      <c r="H226" s="208">
        <v>1214</v>
      </c>
      <c r="I226" s="198">
        <v>1840</v>
      </c>
      <c r="J226" s="198"/>
      <c r="K226" s="198">
        <v>533</v>
      </c>
      <c r="L226" s="198"/>
      <c r="M226" s="14">
        <v>42047</v>
      </c>
      <c r="N226" s="170">
        <v>0</v>
      </c>
      <c r="O226" s="14">
        <v>0</v>
      </c>
      <c r="P226" s="213">
        <f t="shared" si="128"/>
        <v>13870.509</v>
      </c>
      <c r="Q226" s="180">
        <v>219.66900000000001</v>
      </c>
      <c r="R226" s="180">
        <v>382</v>
      </c>
      <c r="S226" s="180">
        <v>0</v>
      </c>
      <c r="T226" s="159">
        <v>13268.84</v>
      </c>
      <c r="U226" s="159">
        <v>0</v>
      </c>
      <c r="V226" s="5">
        <v>190187.15691850215</v>
      </c>
      <c r="W226" s="194">
        <v>0</v>
      </c>
      <c r="X226" s="194">
        <v>0</v>
      </c>
      <c r="Y226" s="194">
        <v>303</v>
      </c>
      <c r="Z226" s="194">
        <v>3308</v>
      </c>
      <c r="AA226" s="194">
        <v>0</v>
      </c>
      <c r="AB226" s="194"/>
      <c r="AC226" s="187">
        <v>3841</v>
      </c>
      <c r="AD226" s="188">
        <v>0</v>
      </c>
      <c r="AE226" s="215">
        <f t="shared" si="133"/>
        <v>7452</v>
      </c>
      <c r="AF226" s="5">
        <v>101460.80757332707</v>
      </c>
      <c r="AK226" s="233">
        <f t="shared" si="129"/>
        <v>6121</v>
      </c>
      <c r="AL226" s="170">
        <v>229</v>
      </c>
      <c r="AM226" s="14">
        <v>5892</v>
      </c>
      <c r="AN226" s="14">
        <v>45336.570336664736</v>
      </c>
      <c r="AO226" s="15">
        <v>146371</v>
      </c>
      <c r="AP226" s="125">
        <f t="shared" si="106"/>
        <v>0.52426457683394645</v>
      </c>
      <c r="AQ226" s="125">
        <v>1.43</v>
      </c>
      <c r="AR226" s="159">
        <v>84647</v>
      </c>
      <c r="AS226" s="159">
        <v>24974</v>
      </c>
      <c r="AT226" s="159">
        <v>4619</v>
      </c>
      <c r="AU226" s="101">
        <v>45584</v>
      </c>
      <c r="AV226" s="125">
        <f t="shared" si="126"/>
        <v>0.26174549147005832</v>
      </c>
      <c r="AW226" s="125">
        <f t="shared" si="104"/>
        <v>0.16344965668910036</v>
      </c>
      <c r="AX226" s="125">
        <f t="shared" si="127"/>
        <v>9.8295834780957964E-2</v>
      </c>
      <c r="AY226" s="125">
        <f t="shared" si="107"/>
        <v>0.95961898797458767</v>
      </c>
      <c r="AZ226" s="125">
        <f t="shared" si="108"/>
        <v>0.68771423352304684</v>
      </c>
      <c r="BA226" s="125">
        <f t="shared" si="134"/>
        <v>0.64830876068480148</v>
      </c>
      <c r="BB226" s="125">
        <f t="shared" si="135"/>
        <v>0.7921019296232169</v>
      </c>
      <c r="BC226" s="14">
        <f t="shared" si="130"/>
        <v>267918.90410958906</v>
      </c>
      <c r="BD226" s="14">
        <f t="shared" si="136"/>
        <v>123300</v>
      </c>
      <c r="BE226" s="14">
        <f t="shared" si="131"/>
        <v>144618.90410958903</v>
      </c>
      <c r="BF226" s="14">
        <v>30</v>
      </c>
      <c r="BG226" s="14"/>
      <c r="BH226" s="179">
        <f t="shared" si="137"/>
        <v>0</v>
      </c>
      <c r="BI226" s="179">
        <f t="shared" si="138"/>
        <v>0</v>
      </c>
      <c r="BJ226" s="259">
        <f t="shared" si="132"/>
        <v>1</v>
      </c>
      <c r="BK226" s="14">
        <f t="array" ref="BK226">SUM(G226,M226,N226:O226,P226,AE226,AO226,AR226,AS226:AT226+AK226)</f>
        <v>339809.50899999996</v>
      </c>
      <c r="BL226" s="14">
        <f t="shared" si="124"/>
        <v>260611</v>
      </c>
      <c r="BM226" s="14">
        <f t="shared" si="139"/>
        <v>76.693262871581396</v>
      </c>
    </row>
    <row r="227" spans="1:65" ht="14.4" x14ac:dyDescent="0.3">
      <c r="A227" s="135">
        <v>45474</v>
      </c>
      <c r="B227" s="5">
        <v>286709.90000000002</v>
      </c>
      <c r="C227" s="130">
        <v>6213.88</v>
      </c>
      <c r="D227" s="229">
        <v>14.71</v>
      </c>
      <c r="E227" s="229">
        <v>20759</v>
      </c>
      <c r="F227" s="229">
        <v>5.3</v>
      </c>
      <c r="G227" s="165">
        <f t="shared" si="125"/>
        <v>2484</v>
      </c>
      <c r="H227" s="208">
        <v>1627</v>
      </c>
      <c r="I227" s="198">
        <v>580</v>
      </c>
      <c r="J227" s="198"/>
      <c r="K227" s="198">
        <v>277</v>
      </c>
      <c r="L227" s="198"/>
      <c r="M227" s="14">
        <v>75371</v>
      </c>
      <c r="N227" s="170">
        <v>67080</v>
      </c>
      <c r="O227" s="14">
        <v>0</v>
      </c>
      <c r="P227" s="213">
        <f t="shared" si="128"/>
        <v>3674.377</v>
      </c>
      <c r="Q227" s="180">
        <v>146</v>
      </c>
      <c r="R227" s="180">
        <v>389</v>
      </c>
      <c r="S227" s="180">
        <v>0.377</v>
      </c>
      <c r="T227" s="159">
        <v>3139</v>
      </c>
      <c r="U227" s="159">
        <v>0</v>
      </c>
      <c r="V227" s="5">
        <v>254992</v>
      </c>
      <c r="W227" s="194">
        <v>0</v>
      </c>
      <c r="X227" s="194">
        <v>0</v>
      </c>
      <c r="Y227" s="194">
        <v>671</v>
      </c>
      <c r="Z227" s="194">
        <v>3458</v>
      </c>
      <c r="AA227" s="194">
        <v>0</v>
      </c>
      <c r="AB227" s="194"/>
      <c r="AC227" s="187">
        <v>3964</v>
      </c>
      <c r="AD227" s="188">
        <v>0</v>
      </c>
      <c r="AE227" s="215">
        <f t="shared" si="133"/>
        <v>8093</v>
      </c>
      <c r="AF227" s="5">
        <v>95847</v>
      </c>
      <c r="AK227" s="233">
        <f t="shared" si="129"/>
        <v>5604</v>
      </c>
      <c r="AL227" s="170">
        <v>1</v>
      </c>
      <c r="AM227" s="14">
        <v>5603</v>
      </c>
      <c r="AN227" s="14">
        <v>6872</v>
      </c>
      <c r="AO227" s="15">
        <v>92624</v>
      </c>
      <c r="AP227" s="125">
        <f t="shared" si="106"/>
        <v>0.32305825505153463</v>
      </c>
      <c r="AQ227" s="125">
        <v>1.49</v>
      </c>
      <c r="AR227" s="159">
        <v>71520</v>
      </c>
      <c r="AS227" s="159">
        <v>23793</v>
      </c>
      <c r="AT227" s="159">
        <v>4619</v>
      </c>
      <c r="AU227" s="101">
        <v>45584</v>
      </c>
      <c r="AV227" s="125">
        <f t="shared" si="126"/>
        <v>0.56609966031867054</v>
      </c>
      <c r="AW227" s="125">
        <f t="shared" si="104"/>
        <v>0.50551097119422794</v>
      </c>
      <c r="AX227" s="125">
        <f t="shared" si="127"/>
        <v>6.0588689124442596E-2</v>
      </c>
      <c r="AY227" s="125">
        <f t="shared" si="107"/>
        <v>0.93445989869756518</v>
      </c>
      <c r="AZ227" s="125">
        <f t="shared" si="108"/>
        <v>0.82856922624576268</v>
      </c>
      <c r="BA227" s="125">
        <f t="shared" si="134"/>
        <v>0.48354458179080129</v>
      </c>
      <c r="BB227" s="125">
        <f t="shared" si="135"/>
        <v>0.760403102148271</v>
      </c>
      <c r="BC227" s="14">
        <f t="shared" si="130"/>
        <v>267918.90410958906</v>
      </c>
      <c r="BD227" s="14">
        <f t="shared" si="136"/>
        <v>123300</v>
      </c>
      <c r="BE227" s="14">
        <f t="shared" si="131"/>
        <v>144618.90410958903</v>
      </c>
      <c r="BF227" s="14">
        <v>30</v>
      </c>
      <c r="BG227" s="14"/>
      <c r="BH227" s="179">
        <f t="shared" si="137"/>
        <v>0</v>
      </c>
      <c r="BI227" s="179">
        <f t="shared" si="138"/>
        <v>0</v>
      </c>
      <c r="BJ227" s="259">
        <f t="shared" si="132"/>
        <v>1</v>
      </c>
      <c r="BK227" s="14">
        <f t="array" ref="BK227">SUM(G227,M227,N227:O227,P227,AE227,AO227,AR227,AS227:AT227+AK227)</f>
        <v>360466.37699999998</v>
      </c>
      <c r="BL227" s="14">
        <f t="shared" si="124"/>
        <v>192556</v>
      </c>
      <c r="BM227" s="14">
        <f t="shared" si="139"/>
        <v>53.418574459719999</v>
      </c>
    </row>
    <row r="228" spans="1:65" ht="14.4" x14ac:dyDescent="0.3">
      <c r="A228" s="135">
        <v>45505</v>
      </c>
      <c r="B228" s="5">
        <v>349007</v>
      </c>
      <c r="C228" s="130">
        <v>8689.82</v>
      </c>
      <c r="D228" s="229">
        <v>13.8</v>
      </c>
      <c r="E228" s="229">
        <v>17694</v>
      </c>
      <c r="F228" s="229">
        <v>5.33</v>
      </c>
      <c r="G228" s="165">
        <f t="shared" si="125"/>
        <v>2159</v>
      </c>
      <c r="H228" s="208">
        <v>1442</v>
      </c>
      <c r="I228" s="198">
        <v>233</v>
      </c>
      <c r="J228" s="198"/>
      <c r="K228" s="198">
        <v>484</v>
      </c>
      <c r="L228" s="198"/>
      <c r="M228" s="14">
        <v>55522</v>
      </c>
      <c r="N228" s="170">
        <v>51156</v>
      </c>
      <c r="O228" s="14">
        <v>0</v>
      </c>
      <c r="P228" s="213">
        <f t="shared" si="128"/>
        <v>7657.4809999999998</v>
      </c>
      <c r="Q228" s="180">
        <v>49.064</v>
      </c>
      <c r="R228" s="180">
        <v>215.68799999999999</v>
      </c>
      <c r="S228" s="180">
        <v>0.254</v>
      </c>
      <c r="T228" s="159">
        <v>5785.78</v>
      </c>
      <c r="U228" s="159">
        <v>1606.6949999999999</v>
      </c>
      <c r="V228" s="5">
        <v>250015.24050700801</v>
      </c>
      <c r="W228" s="194">
        <v>0</v>
      </c>
      <c r="X228" s="194">
        <v>0</v>
      </c>
      <c r="Y228" s="194">
        <v>39</v>
      </c>
      <c r="Z228" s="194">
        <v>3127</v>
      </c>
      <c r="AA228" s="194">
        <v>0</v>
      </c>
      <c r="AB228" s="194"/>
      <c r="AC228" s="187">
        <v>3596</v>
      </c>
      <c r="AD228" s="188">
        <v>0</v>
      </c>
      <c r="AE228" s="215">
        <f t="shared" si="133"/>
        <v>6762</v>
      </c>
      <c r="AF228" s="5">
        <v>108603.95433913115</v>
      </c>
      <c r="AK228" s="233">
        <f t="shared" si="129"/>
        <v>5761</v>
      </c>
      <c r="AL228" s="170">
        <v>1692</v>
      </c>
      <c r="AM228" s="14">
        <v>4069</v>
      </c>
      <c r="AN228" s="14">
        <v>0</v>
      </c>
      <c r="AO228" s="15">
        <v>156050</v>
      </c>
      <c r="AP228" s="125">
        <f t="shared" si="106"/>
        <v>0.44712570234980958</v>
      </c>
      <c r="AQ228" s="125">
        <v>1.63</v>
      </c>
      <c r="AR228" s="159">
        <v>66047</v>
      </c>
      <c r="AS228" s="159">
        <v>26515</v>
      </c>
      <c r="AT228" s="159">
        <v>2309.5</v>
      </c>
      <c r="AU228" s="101">
        <v>45584</v>
      </c>
      <c r="AV228" s="125">
        <f t="shared" si="126"/>
        <v>0.36967018140037305</v>
      </c>
      <c r="AW228" s="125">
        <f t="shared" si="104"/>
        <v>0.31184761337165157</v>
      </c>
      <c r="AX228" s="125">
        <f t="shared" ref="AX228:AX233" si="140">AV228-AW228</f>
        <v>5.7822568028721488E-2</v>
      </c>
      <c r="AY228" s="125">
        <f t="shared" si="107"/>
        <v>0.76766054580449405</v>
      </c>
      <c r="AZ228" s="125">
        <f t="shared" si="108"/>
        <v>0.75897331572146121</v>
      </c>
      <c r="BA228" s="125">
        <f t="shared" si="134"/>
        <v>0.49316993536057596</v>
      </c>
      <c r="BB228" s="125">
        <f t="shared" si="135"/>
        <v>0.56715075025721995</v>
      </c>
      <c r="BC228" s="14">
        <f t="shared" si="130"/>
        <v>267918.90410958906</v>
      </c>
      <c r="BD228" s="14">
        <f t="shared" si="136"/>
        <v>123300</v>
      </c>
      <c r="BE228" s="14">
        <f t="shared" si="131"/>
        <v>144618.90410958903</v>
      </c>
      <c r="BF228" s="14">
        <v>30</v>
      </c>
      <c r="BG228" s="14"/>
      <c r="BH228" s="179">
        <f t="shared" si="137"/>
        <v>0</v>
      </c>
      <c r="BI228" s="179">
        <f t="shared" si="138"/>
        <v>0</v>
      </c>
      <c r="BJ228" s="259">
        <f t="shared" si="132"/>
        <v>1</v>
      </c>
      <c r="BK228" s="14">
        <f t="array" ref="BK228">SUM(G228,M228,N228:O228,P228,AE228,AO228,AR228,AS228:AT228+AK228)</f>
        <v>385699.98100000003</v>
      </c>
      <c r="BL228" s="14">
        <f t="shared" ref="BL228:BL233" si="141">SUM(AO228,AR228,AS228:AT228)</f>
        <v>250921.5</v>
      </c>
      <c r="BM228" s="14">
        <f t="shared" si="139"/>
        <v>65.056134913317507</v>
      </c>
    </row>
    <row r="229" spans="1:65" ht="14.4" x14ac:dyDescent="0.3">
      <c r="A229" s="135">
        <v>45537</v>
      </c>
      <c r="B229" s="5">
        <v>308435.88680009992</v>
      </c>
      <c r="C229" s="130">
        <v>7684.06</v>
      </c>
      <c r="D229" s="230">
        <v>14.461020606294085</v>
      </c>
      <c r="E229" s="231">
        <v>15102.539999999999</v>
      </c>
      <c r="F229" s="230">
        <v>5.4771609014112945</v>
      </c>
      <c r="G229" s="165">
        <f t="shared" si="125"/>
        <v>2084</v>
      </c>
      <c r="H229" s="208">
        <v>1443</v>
      </c>
      <c r="I229" s="198">
        <v>223</v>
      </c>
      <c r="J229" s="198"/>
      <c r="K229" s="198">
        <v>418</v>
      </c>
      <c r="L229" s="243"/>
      <c r="M229" s="167">
        <v>106179</v>
      </c>
      <c r="N229" s="170">
        <v>55989</v>
      </c>
      <c r="O229" s="14">
        <v>0</v>
      </c>
      <c r="P229" s="213">
        <f t="shared" ref="P229:P234" si="142">Q229+R229+S229+T229+U229</f>
        <v>5121.165</v>
      </c>
      <c r="Q229" s="180">
        <v>0</v>
      </c>
      <c r="R229" s="180">
        <v>0</v>
      </c>
      <c r="S229" s="180">
        <v>19.634</v>
      </c>
      <c r="T229" s="159">
        <v>5101.5309999999999</v>
      </c>
      <c r="U229" s="159">
        <v>0</v>
      </c>
      <c r="V229" s="5">
        <v>248320.99882237139</v>
      </c>
      <c r="W229" s="194">
        <v>0</v>
      </c>
      <c r="X229" s="194">
        <v>0</v>
      </c>
      <c r="Y229" s="194">
        <v>1220</v>
      </c>
      <c r="Z229" s="194">
        <v>2029</v>
      </c>
      <c r="AA229" s="194">
        <v>0</v>
      </c>
      <c r="AB229" s="194"/>
      <c r="AC229" s="187">
        <v>2054</v>
      </c>
      <c r="AD229" s="188">
        <v>0</v>
      </c>
      <c r="AE229" s="215">
        <f t="shared" si="133"/>
        <v>5303</v>
      </c>
      <c r="AF229" s="5">
        <v>95352.112882589572</v>
      </c>
      <c r="AK229" s="233">
        <f t="shared" ref="AK229:AK234" si="143">SUM(AL229+AM229)</f>
        <v>5698</v>
      </c>
      <c r="AL229" s="170">
        <v>422</v>
      </c>
      <c r="AM229" s="14">
        <v>5276</v>
      </c>
      <c r="AN229" s="14">
        <v>0</v>
      </c>
      <c r="AO229" s="14">
        <v>91368</v>
      </c>
      <c r="AP229" s="125">
        <f t="shared" si="106"/>
        <v>0.29623012078103744</v>
      </c>
      <c r="AQ229" s="125">
        <v>1.58</v>
      </c>
      <c r="AR229" s="159">
        <v>57944</v>
      </c>
      <c r="AS229" s="159">
        <v>17641</v>
      </c>
      <c r="AT229" s="159">
        <v>2309.5</v>
      </c>
      <c r="AU229" s="101">
        <v>45585</v>
      </c>
      <c r="AV229" s="125">
        <f t="shared" si="126"/>
        <v>0.58480278307206879</v>
      </c>
      <c r="AW229" s="125">
        <f t="shared" si="104"/>
        <v>0.53253206591505742</v>
      </c>
      <c r="AX229" s="125">
        <f t="shared" si="140"/>
        <v>5.227071715701137E-2</v>
      </c>
      <c r="AY229" s="125">
        <f t="shared" si="107"/>
        <v>0.89759183705495338</v>
      </c>
      <c r="AZ229" s="125">
        <f t="shared" si="108"/>
        <v>0.82876218669609492</v>
      </c>
      <c r="BA229" s="125">
        <f t="shared" si="134"/>
        <v>0.51308588723557258</v>
      </c>
      <c r="BB229" s="125">
        <f t="shared" si="135"/>
        <v>0.57844035354130863</v>
      </c>
      <c r="BC229" s="14">
        <f t="shared" ref="BC229:BC234" si="144">BD229+BE229</f>
        <v>276849.53424657532</v>
      </c>
      <c r="BD229" s="14">
        <f t="shared" si="136"/>
        <v>127410</v>
      </c>
      <c r="BE229" s="14">
        <f t="shared" ref="BE229:BE234" si="145">$BE$4*BF229</f>
        <v>149439.53424657535</v>
      </c>
      <c r="BF229" s="14">
        <v>31</v>
      </c>
      <c r="BG229" s="14"/>
      <c r="BH229" s="179">
        <f t="shared" si="137"/>
        <v>0</v>
      </c>
      <c r="BI229" s="179">
        <f t="shared" si="138"/>
        <v>0</v>
      </c>
      <c r="BJ229" s="259">
        <f t="shared" ref="BJ229:BJ234" si="146">1-BI229-BH229</f>
        <v>1</v>
      </c>
      <c r="BK229" s="14">
        <f t="array" ref="BK229">SUM(G229,M229,N229:O229,P229,AE229,AO229,AR229,AS229:AT229+AK229)</f>
        <v>355334.66500000004</v>
      </c>
      <c r="BL229" s="14">
        <f t="shared" si="141"/>
        <v>169262.5</v>
      </c>
      <c r="BM229" s="14">
        <f t="shared" si="139"/>
        <v>47.634671387887245</v>
      </c>
    </row>
    <row r="230" spans="1:65" ht="14.4" x14ac:dyDescent="0.3">
      <c r="A230" s="135">
        <v>45567</v>
      </c>
      <c r="B230" s="5">
        <v>314623.35999999993</v>
      </c>
      <c r="C230" s="130">
        <v>6272.1484000000009</v>
      </c>
      <c r="D230" s="230">
        <v>14.368958389650244</v>
      </c>
      <c r="E230" s="231">
        <v>15341.1</v>
      </c>
      <c r="F230" s="230">
        <v>5.2568420387064521</v>
      </c>
      <c r="G230" s="165">
        <f t="shared" si="125"/>
        <v>1379</v>
      </c>
      <c r="H230" s="208">
        <v>134</v>
      </c>
      <c r="I230" s="198">
        <v>843</v>
      </c>
      <c r="J230" s="198"/>
      <c r="K230" s="198">
        <v>402</v>
      </c>
      <c r="L230" s="243"/>
      <c r="M230" s="167">
        <v>87775</v>
      </c>
      <c r="N230" s="170">
        <v>21238</v>
      </c>
      <c r="O230" s="14">
        <v>0</v>
      </c>
      <c r="P230" s="213">
        <f t="shared" si="142"/>
        <v>6507.3370000000004</v>
      </c>
      <c r="Q230" s="180">
        <v>0</v>
      </c>
      <c r="R230" s="180">
        <v>0</v>
      </c>
      <c r="S230" s="180">
        <v>2091</v>
      </c>
      <c r="T230" s="159">
        <v>4416.3370000000004</v>
      </c>
      <c r="U230" s="159">
        <v>0</v>
      </c>
      <c r="V230" s="5">
        <v>206862.21339323162</v>
      </c>
      <c r="W230" s="194">
        <v>0</v>
      </c>
      <c r="X230" s="194">
        <v>0</v>
      </c>
      <c r="Y230" s="194">
        <v>1174</v>
      </c>
      <c r="Z230" s="194">
        <v>1885</v>
      </c>
      <c r="AA230" s="194">
        <v>0</v>
      </c>
      <c r="AB230" s="194"/>
      <c r="AC230" s="187">
        <v>1902</v>
      </c>
      <c r="AD230" s="188">
        <v>0</v>
      </c>
      <c r="AE230" s="215">
        <f t="shared" ref="AE230:AE235" si="147">SUM(W230:AD230)</f>
        <v>4961</v>
      </c>
      <c r="AF230" s="5">
        <v>97028.030770617625</v>
      </c>
      <c r="AK230" s="233">
        <f t="shared" si="143"/>
        <v>6037</v>
      </c>
      <c r="AL230" s="170">
        <v>839</v>
      </c>
      <c r="AM230" s="14">
        <v>5198</v>
      </c>
      <c r="AN230" s="14">
        <v>0</v>
      </c>
      <c r="AO230" s="14">
        <v>165970</v>
      </c>
      <c r="AP230" s="125">
        <f t="shared" si="106"/>
        <v>0.52751963490568543</v>
      </c>
      <c r="AQ230" s="125">
        <v>1.57</v>
      </c>
      <c r="AR230" s="159">
        <v>70962</v>
      </c>
      <c r="AS230" s="159">
        <v>21424</v>
      </c>
      <c r="AT230" s="159">
        <v>2309.5</v>
      </c>
      <c r="AU230" s="101">
        <v>45585</v>
      </c>
      <c r="AV230" s="125">
        <f t="shared" si="126"/>
        <v>0.40650934819334467</v>
      </c>
      <c r="AW230" s="125">
        <f t="shared" si="104"/>
        <v>0.35087032316990074</v>
      </c>
      <c r="AX230" s="125">
        <f t="shared" si="140"/>
        <v>5.5639025023443922E-2</v>
      </c>
      <c r="AY230" s="125">
        <f t="shared" si="107"/>
        <v>0.87993953864892738</v>
      </c>
      <c r="AZ230" s="125">
        <f t="shared" si="108"/>
        <v>0.87838995807558617</v>
      </c>
      <c r="BA230" s="125">
        <f t="shared" ref="BA230:BA235" si="148">BD230/V230</f>
        <v>0.61591722291882212</v>
      </c>
      <c r="BB230" s="125">
        <f t="shared" ref="BB230:BB235" si="149">BE229/V229</f>
        <v>0.60179982746232519</v>
      </c>
      <c r="BC230" s="14">
        <f t="shared" si="144"/>
        <v>276849.53424657532</v>
      </c>
      <c r="BD230" s="14">
        <f t="shared" ref="BD230:BD235" si="150">$BD$4*BF230</f>
        <v>127410</v>
      </c>
      <c r="BE230" s="14">
        <f t="shared" si="145"/>
        <v>149439.53424657535</v>
      </c>
      <c r="BF230" s="14">
        <v>31</v>
      </c>
      <c r="BG230" s="14"/>
      <c r="BH230" s="179">
        <f t="shared" ref="BH230:BH235" si="151">O230/(M230+N230)</f>
        <v>0</v>
      </c>
      <c r="BI230" s="179">
        <f t="shared" ref="BI230:BI235" si="152">AD230/(M230+N230)</f>
        <v>0</v>
      </c>
      <c r="BJ230" s="259">
        <f t="shared" si="146"/>
        <v>1</v>
      </c>
      <c r="BK230" s="14">
        <f t="array" ref="BK230">SUM(G230,M230,N230:O230,P230,AE230,AO230,AR230,AS230:AT230+AK230)</f>
        <v>394599.837</v>
      </c>
      <c r="BL230" s="14">
        <f t="shared" si="141"/>
        <v>260665.5</v>
      </c>
      <c r="BM230" s="14">
        <f t="shared" ref="BM230:BM235" si="153">(BL230*100)/BK230</f>
        <v>66.058187449276616</v>
      </c>
    </row>
    <row r="231" spans="1:65" ht="14.4" x14ac:dyDescent="0.3">
      <c r="A231" s="135">
        <v>45598</v>
      </c>
      <c r="B231" s="5">
        <v>262765.55200000003</v>
      </c>
      <c r="C231" s="130">
        <v>6001.6800000000012</v>
      </c>
      <c r="D231" s="230">
        <v>13.903587443946186</v>
      </c>
      <c r="E231" s="231">
        <v>10052.690000000002</v>
      </c>
      <c r="F231" s="230">
        <v>5.1165813329566285</v>
      </c>
      <c r="G231" s="165">
        <f t="shared" si="125"/>
        <v>3091</v>
      </c>
      <c r="H231" s="208">
        <v>636</v>
      </c>
      <c r="I231" s="198">
        <v>2145</v>
      </c>
      <c r="J231" s="198"/>
      <c r="K231" s="198">
        <v>310</v>
      </c>
      <c r="L231" s="243"/>
      <c r="M231" s="167">
        <v>41309</v>
      </c>
      <c r="N231" s="170">
        <v>55604</v>
      </c>
      <c r="O231" s="14">
        <v>0</v>
      </c>
      <c r="P231" s="213">
        <f t="shared" si="142"/>
        <v>4680.04</v>
      </c>
      <c r="Q231" s="180">
        <v>0</v>
      </c>
      <c r="R231" s="180">
        <v>0</v>
      </c>
      <c r="S231" s="180">
        <v>1000.252</v>
      </c>
      <c r="T231" s="159">
        <v>3679.788</v>
      </c>
      <c r="U231" s="159">
        <v>0</v>
      </c>
      <c r="V231" s="5">
        <v>187557.73275539814</v>
      </c>
      <c r="W231" s="194">
        <v>0</v>
      </c>
      <c r="X231" s="194">
        <v>0</v>
      </c>
      <c r="Y231" s="194">
        <v>1143</v>
      </c>
      <c r="Z231" s="194">
        <v>1143</v>
      </c>
      <c r="AA231" s="194">
        <v>0</v>
      </c>
      <c r="AB231" s="194"/>
      <c r="AC231" s="187">
        <v>1693</v>
      </c>
      <c r="AD231" s="188">
        <v>0</v>
      </c>
      <c r="AE231" s="215">
        <f t="shared" si="147"/>
        <v>3979</v>
      </c>
      <c r="AF231" s="5">
        <v>96891.103668620359</v>
      </c>
      <c r="AK231" s="233">
        <f t="shared" si="143"/>
        <v>8333</v>
      </c>
      <c r="AL231" s="170">
        <v>833</v>
      </c>
      <c r="AM231" s="14">
        <v>7500</v>
      </c>
      <c r="AN231" s="14">
        <v>0</v>
      </c>
      <c r="AO231" s="14">
        <v>190265</v>
      </c>
      <c r="AP231" s="125">
        <f t="shared" si="106"/>
        <v>0.72408654236381786</v>
      </c>
      <c r="AQ231" s="125">
        <v>2.4849999999999999</v>
      </c>
      <c r="AR231" s="235">
        <v>62189</v>
      </c>
      <c r="AS231" s="235">
        <v>19429</v>
      </c>
      <c r="AT231" s="235">
        <v>2309.5</v>
      </c>
      <c r="AU231" s="101">
        <v>45585</v>
      </c>
      <c r="AV231" s="125">
        <f t="shared" si="126"/>
        <v>0.445248774466449</v>
      </c>
      <c r="AW231" s="125">
        <f t="shared" si="104"/>
        <v>0.3805826115289267</v>
      </c>
      <c r="AX231" s="125">
        <f t="shared" si="140"/>
        <v>6.4666162937522309E-2</v>
      </c>
      <c r="AY231" s="125">
        <f t="shared" si="107"/>
        <v>1.0535990434795475</v>
      </c>
      <c r="AZ231" s="125">
        <f t="shared" si="108"/>
        <v>1.1046691538927444</v>
      </c>
      <c r="BA231" s="125">
        <f t="shared" si="148"/>
        <v>0.67931083473993947</v>
      </c>
      <c r="BB231" s="125">
        <f t="shared" si="149"/>
        <v>0.7224109797302638</v>
      </c>
      <c r="BC231" s="14">
        <f t="shared" si="144"/>
        <v>276849.53424657532</v>
      </c>
      <c r="BD231" s="14">
        <f t="shared" si="150"/>
        <v>127410</v>
      </c>
      <c r="BE231" s="14">
        <f t="shared" si="145"/>
        <v>149439.53424657535</v>
      </c>
      <c r="BF231" s="14">
        <v>31</v>
      </c>
      <c r="BG231" s="14"/>
      <c r="BH231" s="234">
        <f t="shared" si="151"/>
        <v>0</v>
      </c>
      <c r="BI231" s="234">
        <f t="shared" si="152"/>
        <v>0</v>
      </c>
      <c r="BJ231" s="260">
        <f t="shared" si="146"/>
        <v>1</v>
      </c>
      <c r="BK231" s="14">
        <f t="array" ref="BK231">SUM(G231,M231,N231:O231,P231,AE231,AO231,AR231,AS231:AT231+AK231)</f>
        <v>399521.54</v>
      </c>
      <c r="BL231" s="14">
        <f t="shared" si="141"/>
        <v>274192.5</v>
      </c>
      <c r="BM231" s="14">
        <f t="shared" si="153"/>
        <v>68.630217034105343</v>
      </c>
    </row>
    <row r="232" spans="1:65" ht="13.8" x14ac:dyDescent="0.3">
      <c r="A232" s="135">
        <v>45650</v>
      </c>
      <c r="B232" s="14">
        <v>265450</v>
      </c>
      <c r="C232" s="14">
        <v>6914.9</v>
      </c>
      <c r="D232" s="14">
        <v>13.73</v>
      </c>
      <c r="E232" s="14">
        <v>12938.280000000002</v>
      </c>
      <c r="F232" s="14">
        <v>4.7699999999999996</v>
      </c>
      <c r="G232" s="165">
        <f t="shared" si="125"/>
        <v>10815</v>
      </c>
      <c r="H232" s="204">
        <v>1123</v>
      </c>
      <c r="I232" s="187">
        <v>2192</v>
      </c>
      <c r="J232" s="187"/>
      <c r="K232" s="187">
        <v>7500</v>
      </c>
      <c r="L232" s="187"/>
      <c r="M232" s="236">
        <v>97636</v>
      </c>
      <c r="N232" s="236">
        <v>56431</v>
      </c>
      <c r="O232" s="14">
        <v>0</v>
      </c>
      <c r="P232" s="213">
        <f t="shared" si="142"/>
        <v>7399.405999999999</v>
      </c>
      <c r="Q232" s="180">
        <v>2445.7269999999999</v>
      </c>
      <c r="R232" s="180">
        <v>98.335999999999999</v>
      </c>
      <c r="S232" s="180">
        <v>0</v>
      </c>
      <c r="T232" s="159">
        <v>4855.3429999999998</v>
      </c>
      <c r="U232" s="181">
        <v>0</v>
      </c>
      <c r="V232" s="14">
        <v>163354.01208575998</v>
      </c>
      <c r="W232" s="187">
        <v>0</v>
      </c>
      <c r="X232" s="187">
        <v>0</v>
      </c>
      <c r="Y232" s="187">
        <v>372</v>
      </c>
      <c r="Z232" s="187">
        <v>2043</v>
      </c>
      <c r="AA232" s="187">
        <v>0</v>
      </c>
      <c r="AB232" s="187"/>
      <c r="AC232" s="187">
        <v>2519</v>
      </c>
      <c r="AD232" s="187">
        <v>0</v>
      </c>
      <c r="AE232" s="215">
        <f t="shared" si="147"/>
        <v>4934</v>
      </c>
      <c r="AF232" s="238">
        <v>69301.93758140126</v>
      </c>
      <c r="AK232" s="233">
        <f t="shared" si="143"/>
        <v>3442</v>
      </c>
      <c r="AL232" s="170">
        <v>0</v>
      </c>
      <c r="AM232" s="14">
        <v>3442</v>
      </c>
      <c r="AN232" s="14">
        <v>0</v>
      </c>
      <c r="AO232" s="14">
        <v>176752</v>
      </c>
      <c r="AP232" s="125">
        <f t="shared" si="106"/>
        <v>0.66585797702015448</v>
      </c>
      <c r="AQ232" s="14">
        <v>1.52</v>
      </c>
      <c r="AR232" s="181">
        <v>53098</v>
      </c>
      <c r="AS232" s="181">
        <v>19753</v>
      </c>
      <c r="AT232" s="235">
        <v>2309.5</v>
      </c>
      <c r="AU232" s="101">
        <v>45585</v>
      </c>
      <c r="AV232" s="125">
        <f t="shared" si="126"/>
        <v>0.68057037483518545</v>
      </c>
      <c r="AW232" s="125">
        <f t="shared" si="104"/>
        <v>0.62114145790167641</v>
      </c>
      <c r="AX232" s="125">
        <f t="shared" si="140"/>
        <v>5.9428916933509046E-2</v>
      </c>
      <c r="AY232" s="125">
        <f t="shared" si="107"/>
        <v>1.042944186274535</v>
      </c>
      <c r="AZ232" s="125">
        <f t="shared" si="108"/>
        <v>1.2869994349218308</v>
      </c>
      <c r="BA232" s="125">
        <f t="shared" si="148"/>
        <v>0.77996247764707749</v>
      </c>
      <c r="BB232" s="125">
        <f t="shared" si="149"/>
        <v>0.79676551881476232</v>
      </c>
      <c r="BC232" s="14">
        <f t="shared" si="144"/>
        <v>276849.53424657532</v>
      </c>
      <c r="BD232" s="14">
        <f t="shared" si="150"/>
        <v>127410</v>
      </c>
      <c r="BE232" s="14">
        <f t="shared" si="145"/>
        <v>149439.53424657535</v>
      </c>
      <c r="BF232" s="14">
        <v>31</v>
      </c>
      <c r="BG232" s="14"/>
      <c r="BH232" s="179">
        <f t="shared" si="151"/>
        <v>0</v>
      </c>
      <c r="BI232" s="179">
        <f t="shared" si="152"/>
        <v>0</v>
      </c>
      <c r="BJ232" s="259">
        <f t="shared" si="146"/>
        <v>1</v>
      </c>
      <c r="BK232" s="14">
        <f t="array" ref="BK232">SUM(G232,M232,N232:O232,P232,AE232,AO232,AR232,AS232:AT232+AK232)</f>
        <v>436011.90599999996</v>
      </c>
      <c r="BL232" s="14">
        <f t="shared" si="141"/>
        <v>251912.5</v>
      </c>
      <c r="BM232" s="14">
        <f t="shared" si="153"/>
        <v>57.776518607269416</v>
      </c>
    </row>
    <row r="233" spans="1:65" ht="13.8" x14ac:dyDescent="0.3">
      <c r="A233" s="135">
        <v>45681</v>
      </c>
      <c r="B233" s="14">
        <v>288478</v>
      </c>
      <c r="C233" s="14">
        <v>7805.04</v>
      </c>
      <c r="D233" s="14">
        <v>13.79</v>
      </c>
      <c r="E233" s="14">
        <v>8076.04</v>
      </c>
      <c r="F233" s="14">
        <v>5.07</v>
      </c>
      <c r="G233" s="165">
        <f t="shared" si="125"/>
        <v>10287</v>
      </c>
      <c r="H233" s="204">
        <v>1944</v>
      </c>
      <c r="I233" s="187">
        <v>170</v>
      </c>
      <c r="J233" s="187"/>
      <c r="K233" s="187">
        <v>8173</v>
      </c>
      <c r="L233" s="187"/>
      <c r="M233" s="237">
        <v>225</v>
      </c>
      <c r="N233" s="237">
        <v>1112</v>
      </c>
      <c r="O233" s="14">
        <v>0</v>
      </c>
      <c r="P233" s="213">
        <f t="shared" si="142"/>
        <v>4031.8339999999998</v>
      </c>
      <c r="Q233" s="180">
        <v>1505.69</v>
      </c>
      <c r="R233" s="180">
        <v>560.00099999999998</v>
      </c>
      <c r="S233" s="180">
        <v>0</v>
      </c>
      <c r="T233" s="159">
        <v>1944.42</v>
      </c>
      <c r="U233" s="181">
        <v>21.722999999999999</v>
      </c>
      <c r="V233" s="14">
        <v>189158.88754583307</v>
      </c>
      <c r="W233" s="187">
        <v>0</v>
      </c>
      <c r="X233" s="187">
        <v>0</v>
      </c>
      <c r="Y233" s="187">
        <v>711</v>
      </c>
      <c r="Z233" s="187">
        <v>2354</v>
      </c>
      <c r="AA233" s="187">
        <v>0</v>
      </c>
      <c r="AB233" s="187"/>
      <c r="AC233" s="187">
        <v>2397</v>
      </c>
      <c r="AD233" s="187">
        <v>0</v>
      </c>
      <c r="AE233" s="215">
        <f t="shared" si="147"/>
        <v>5462</v>
      </c>
      <c r="AF233" s="238">
        <v>67160.13038413426</v>
      </c>
      <c r="AK233" s="233">
        <f t="shared" si="143"/>
        <v>1588</v>
      </c>
      <c r="AL233" s="170">
        <v>0</v>
      </c>
      <c r="AM233" s="14">
        <v>1588</v>
      </c>
      <c r="AN233" s="14">
        <v>0</v>
      </c>
      <c r="AO233" s="14">
        <v>235128</v>
      </c>
      <c r="AP233" s="125">
        <f t="shared" si="106"/>
        <v>0.81506388702084731</v>
      </c>
      <c r="AQ233" s="14">
        <v>1.59</v>
      </c>
      <c r="AR233" s="181">
        <v>73031</v>
      </c>
      <c r="AS233" s="181">
        <v>61673</v>
      </c>
      <c r="AT233" s="235">
        <v>2309.5</v>
      </c>
      <c r="AU233" s="101">
        <v>45585</v>
      </c>
      <c r="AV233" s="125">
        <f t="shared" si="126"/>
        <v>7.8709066202622038E-2</v>
      </c>
      <c r="AW233" s="125">
        <f t="shared" si="104"/>
        <v>4.0294233875720162E-2</v>
      </c>
      <c r="AX233" s="125">
        <f t="shared" si="140"/>
        <v>3.8414832326901877E-2</v>
      </c>
      <c r="AY233" s="125">
        <f t="shared" si="107"/>
        <v>0.95969028572915549</v>
      </c>
      <c r="AZ233" s="125">
        <f t="shared" si="108"/>
        <v>0.85535812089656749</v>
      </c>
      <c r="BA233" s="125">
        <f t="shared" si="148"/>
        <v>0.67356073855704313</v>
      </c>
      <c r="BB233" s="125">
        <f t="shared" si="149"/>
        <v>0.91482010351922294</v>
      </c>
      <c r="BC233" s="14">
        <f t="shared" si="144"/>
        <v>276849.53424657532</v>
      </c>
      <c r="BD233" s="14">
        <f t="shared" si="150"/>
        <v>127410</v>
      </c>
      <c r="BE233" s="14">
        <f t="shared" si="145"/>
        <v>149439.53424657535</v>
      </c>
      <c r="BF233" s="14">
        <v>31</v>
      </c>
      <c r="BG233" s="14"/>
      <c r="BH233" s="179">
        <f t="shared" si="151"/>
        <v>0</v>
      </c>
      <c r="BI233" s="179">
        <f t="shared" si="152"/>
        <v>0</v>
      </c>
      <c r="BJ233" s="259">
        <f t="shared" si="146"/>
        <v>1</v>
      </c>
      <c r="BK233" s="14">
        <f t="array" ref="BK233">SUM(G233,M233,N233:O233,P233,AE233,AO233,AR233,AS233:AT233+AK233)</f>
        <v>396435.33400000003</v>
      </c>
      <c r="BL233" s="14">
        <f t="shared" si="141"/>
        <v>372141.5</v>
      </c>
      <c r="BM233" s="14">
        <f t="shared" si="153"/>
        <v>93.871930194799432</v>
      </c>
    </row>
    <row r="234" spans="1:65" ht="13.8" x14ac:dyDescent="0.3">
      <c r="A234" s="135">
        <v>45712</v>
      </c>
      <c r="B234" s="14">
        <v>241142</v>
      </c>
      <c r="C234" s="14">
        <v>5772</v>
      </c>
      <c r="D234" s="14">
        <v>14.19</v>
      </c>
      <c r="E234" s="14">
        <v>10758</v>
      </c>
      <c r="F234" s="14">
        <v>5.73</v>
      </c>
      <c r="G234" s="165">
        <f t="shared" si="125"/>
        <v>4006</v>
      </c>
      <c r="H234" s="204">
        <v>1295</v>
      </c>
      <c r="I234" s="187">
        <v>2050</v>
      </c>
      <c r="J234" s="187">
        <v>0</v>
      </c>
      <c r="K234" s="187">
        <v>661</v>
      </c>
      <c r="L234" s="187"/>
      <c r="M234" s="237">
        <v>146</v>
      </c>
      <c r="N234" s="237">
        <v>0</v>
      </c>
      <c r="O234" s="14">
        <v>0</v>
      </c>
      <c r="P234" s="213">
        <f t="shared" si="142"/>
        <v>2407.1160000000004</v>
      </c>
      <c r="Q234" s="180">
        <v>1450.14</v>
      </c>
      <c r="R234" s="180">
        <v>608.51800000000003</v>
      </c>
      <c r="S234" s="180">
        <v>0</v>
      </c>
      <c r="T234" s="159">
        <v>348.45800000000003</v>
      </c>
      <c r="U234" s="181">
        <v>0</v>
      </c>
      <c r="V234" s="14">
        <v>168381</v>
      </c>
      <c r="W234" s="187">
        <v>0</v>
      </c>
      <c r="X234" s="187">
        <v>0</v>
      </c>
      <c r="Y234" s="187">
        <v>1176</v>
      </c>
      <c r="Z234" s="187">
        <v>1719</v>
      </c>
      <c r="AA234" s="187">
        <v>0</v>
      </c>
      <c r="AB234" s="187"/>
      <c r="AC234" s="187">
        <v>1753</v>
      </c>
      <c r="AD234" s="187">
        <v>0</v>
      </c>
      <c r="AE234" s="215">
        <f t="shared" si="147"/>
        <v>4648</v>
      </c>
      <c r="AF234" s="238">
        <v>73263</v>
      </c>
      <c r="AK234" s="233">
        <f t="shared" si="143"/>
        <v>7868</v>
      </c>
      <c r="AL234" s="170">
        <v>0</v>
      </c>
      <c r="AM234" s="14">
        <v>7868</v>
      </c>
      <c r="AN234" s="14">
        <v>0</v>
      </c>
      <c r="AO234" s="14">
        <v>202918</v>
      </c>
      <c r="AP234" s="125">
        <f t="shared" si="106"/>
        <v>0.84148758822602454</v>
      </c>
      <c r="AQ234" s="14">
        <v>1.52</v>
      </c>
      <c r="AR234" s="181">
        <v>79856</v>
      </c>
      <c r="AS234" s="181">
        <v>61895</v>
      </c>
      <c r="AT234" s="235">
        <v>2309.5</v>
      </c>
      <c r="AU234" s="101">
        <v>45585</v>
      </c>
      <c r="AV234" s="125">
        <f t="shared" si="126"/>
        <v>7.9103250367003677E-2</v>
      </c>
      <c r="AW234" s="125">
        <f t="shared" si="104"/>
        <v>1.7218070680346021E-2</v>
      </c>
      <c r="AX234" s="125">
        <f t="shared" ref="AX234:AX239" si="154">AV234-AW234</f>
        <v>6.188517968665766E-2</v>
      </c>
      <c r="AY234" s="125">
        <f t="shared" si="107"/>
        <v>1.1480767939495207</v>
      </c>
      <c r="AZ234" s="125">
        <f t="shared" si="108"/>
        <v>0.85870565890637052</v>
      </c>
      <c r="BA234" s="125">
        <f t="shared" si="148"/>
        <v>0.75667682220678101</v>
      </c>
      <c r="BB234" s="125">
        <f t="shared" si="149"/>
        <v>0.79002121542064074</v>
      </c>
      <c r="BC234" s="14">
        <f t="shared" si="144"/>
        <v>276849.53424657532</v>
      </c>
      <c r="BD234" s="14">
        <f t="shared" si="150"/>
        <v>127410</v>
      </c>
      <c r="BE234" s="14">
        <f t="shared" si="145"/>
        <v>149439.53424657535</v>
      </c>
      <c r="BF234" s="14">
        <v>31</v>
      </c>
      <c r="BG234" s="14"/>
      <c r="BH234" s="179">
        <f t="shared" si="151"/>
        <v>0</v>
      </c>
      <c r="BI234" s="179">
        <f t="shared" si="152"/>
        <v>0</v>
      </c>
      <c r="BJ234" s="259">
        <f t="shared" si="146"/>
        <v>1</v>
      </c>
      <c r="BK234" s="14">
        <f t="array" ref="BK234">SUM(G234,M234,N234:O234,P234,AE234,AO234,AR234,AS234:AT234+AK234)</f>
        <v>373921.61600000004</v>
      </c>
      <c r="BL234" s="14">
        <f t="shared" ref="BL234:BL239" si="155">SUM(AO234,AR234,AS234:AT234)</f>
        <v>346978.5</v>
      </c>
      <c r="BM234" s="14">
        <f t="shared" si="153"/>
        <v>92.794448128401314</v>
      </c>
    </row>
    <row r="235" spans="1:65" ht="13.8" x14ac:dyDescent="0.3">
      <c r="A235" s="135">
        <v>45740</v>
      </c>
      <c r="B235" s="14">
        <v>291199</v>
      </c>
      <c r="C235" s="14">
        <v>7059.46</v>
      </c>
      <c r="D235" s="14">
        <v>14.29</v>
      </c>
      <c r="E235" s="14">
        <v>11975</v>
      </c>
      <c r="F235" s="14">
        <v>5.73</v>
      </c>
      <c r="G235" s="165">
        <f t="shared" si="125"/>
        <v>4070</v>
      </c>
      <c r="H235" s="204">
        <v>1433</v>
      </c>
      <c r="I235" s="187">
        <v>2211</v>
      </c>
      <c r="J235" s="187">
        <v>0</v>
      </c>
      <c r="K235" s="187">
        <v>426</v>
      </c>
      <c r="L235" s="187"/>
      <c r="M235" s="237">
        <v>196</v>
      </c>
      <c r="N235" s="237">
        <v>10594</v>
      </c>
      <c r="O235" s="14">
        <v>0</v>
      </c>
      <c r="P235" s="213">
        <f t="shared" ref="P235:P241" si="156">Q235+R235+S235+T235+U235</f>
        <v>7655.9709999999995</v>
      </c>
      <c r="Q235" s="180">
        <v>4427.1170000000002</v>
      </c>
      <c r="R235" s="180">
        <v>465.61900000000003</v>
      </c>
      <c r="S235" s="180">
        <v>0.374</v>
      </c>
      <c r="T235" s="159">
        <v>2762.8609999999999</v>
      </c>
      <c r="U235" s="181">
        <v>0</v>
      </c>
      <c r="V235" s="14">
        <v>226296</v>
      </c>
      <c r="W235" s="187">
        <v>0</v>
      </c>
      <c r="X235" s="187">
        <v>0</v>
      </c>
      <c r="Y235" s="187">
        <v>1222</v>
      </c>
      <c r="Z235" s="187">
        <v>2337</v>
      </c>
      <c r="AA235" s="187">
        <v>0</v>
      </c>
      <c r="AB235" s="187"/>
      <c r="AC235" s="187">
        <v>2403</v>
      </c>
      <c r="AD235" s="187">
        <v>0</v>
      </c>
      <c r="AE235" s="215">
        <f t="shared" si="147"/>
        <v>5962</v>
      </c>
      <c r="AF235" s="238">
        <v>79903</v>
      </c>
      <c r="AK235" s="233">
        <f t="shared" ref="AK235:AK241" si="157">SUM(AL235+AM235)</f>
        <v>7388</v>
      </c>
      <c r="AL235" s="170">
        <v>0</v>
      </c>
      <c r="AM235" s="14">
        <v>7388</v>
      </c>
      <c r="AN235" s="14">
        <v>0</v>
      </c>
      <c r="AO235" s="14">
        <v>228146</v>
      </c>
      <c r="AP235" s="125">
        <f t="shared" si="106"/>
        <v>0.78347109708481144</v>
      </c>
      <c r="AQ235" s="14">
        <v>1.59</v>
      </c>
      <c r="AR235" s="181">
        <v>116049</v>
      </c>
      <c r="AS235" s="181">
        <v>49300</v>
      </c>
      <c r="AT235" s="235">
        <v>2309.5</v>
      </c>
      <c r="AU235" s="101">
        <v>45585</v>
      </c>
      <c r="AV235" s="125">
        <f t="shared" si="126"/>
        <v>0.12316653216528903</v>
      </c>
      <c r="AW235" s="125">
        <f t="shared" si="104"/>
        <v>5.1030395021960925E-2</v>
      </c>
      <c r="AX235" s="125">
        <f t="shared" si="154"/>
        <v>7.2136137143328102E-2</v>
      </c>
      <c r="AY235" s="125">
        <f t="shared" si="107"/>
        <v>0.95072281926303082</v>
      </c>
      <c r="AZ235" s="125">
        <f t="shared" si="108"/>
        <v>0.83450149210677238</v>
      </c>
      <c r="BA235" s="125">
        <f t="shared" si="148"/>
        <v>0.56302365044013147</v>
      </c>
      <c r="BB235" s="125">
        <f t="shared" si="149"/>
        <v>0.8875082951554828</v>
      </c>
      <c r="BC235" s="14">
        <f t="shared" ref="BC235:BC240" si="158">BD235+BE235</f>
        <v>276849.53424657532</v>
      </c>
      <c r="BD235" s="14">
        <f t="shared" si="150"/>
        <v>127410</v>
      </c>
      <c r="BE235" s="14">
        <f t="shared" ref="BE235:BE240" si="159">$BE$4*BF235</f>
        <v>149439.53424657535</v>
      </c>
      <c r="BF235" s="14">
        <v>31</v>
      </c>
      <c r="BG235" s="14"/>
      <c r="BH235" s="179">
        <f t="shared" si="151"/>
        <v>0</v>
      </c>
      <c r="BI235" s="179">
        <f t="shared" si="152"/>
        <v>0</v>
      </c>
      <c r="BJ235" s="259">
        <f t="shared" ref="BJ235:BJ241" si="160">1-BI235-BH235</f>
        <v>1</v>
      </c>
      <c r="BK235" s="14">
        <f t="array" ref="BK235">SUM(G235,M235,N235:O235,P235,AE235,AO235,AR235,AS235:AT235+AK235)</f>
        <v>439058.47100000002</v>
      </c>
      <c r="BL235" s="14">
        <f t="shared" si="155"/>
        <v>395804.5</v>
      </c>
      <c r="BM235" s="14">
        <f t="shared" si="153"/>
        <v>90.148471363851669</v>
      </c>
    </row>
    <row r="236" spans="1:65" s="249" customFormat="1" ht="13.8" x14ac:dyDescent="0.3">
      <c r="A236" s="244">
        <v>45771</v>
      </c>
      <c r="B236" s="181">
        <v>270573</v>
      </c>
      <c r="C236" s="181">
        <v>6256</v>
      </c>
      <c r="D236" s="181">
        <v>14.25</v>
      </c>
      <c r="E236" s="181">
        <v>12233</v>
      </c>
      <c r="F236" s="181">
        <v>5.71</v>
      </c>
      <c r="G236" s="245">
        <f t="shared" si="125"/>
        <v>4351</v>
      </c>
      <c r="H236" s="246">
        <v>1488</v>
      </c>
      <c r="I236" s="181">
        <v>2421</v>
      </c>
      <c r="J236" s="181">
        <v>1</v>
      </c>
      <c r="K236" s="181">
        <v>441</v>
      </c>
      <c r="L236" s="181"/>
      <c r="M236" s="181">
        <v>1167</v>
      </c>
      <c r="N236" s="181">
        <v>29785</v>
      </c>
      <c r="O236" s="181">
        <v>0</v>
      </c>
      <c r="P236" s="235">
        <f t="shared" si="156"/>
        <v>8076.3779999999988</v>
      </c>
      <c r="Q236" s="247">
        <v>4390.1629999999996</v>
      </c>
      <c r="R236" s="247">
        <v>434.75799999999998</v>
      </c>
      <c r="S236" s="247">
        <v>0.374</v>
      </c>
      <c r="T236" s="235">
        <v>3251.0830000000001</v>
      </c>
      <c r="U236" s="181">
        <v>0</v>
      </c>
      <c r="V236" s="181">
        <v>189003</v>
      </c>
      <c r="W236" s="181">
        <v>0</v>
      </c>
      <c r="X236" s="181">
        <v>0</v>
      </c>
      <c r="Y236" s="181">
        <v>79</v>
      </c>
      <c r="Z236" s="181">
        <v>2938</v>
      </c>
      <c r="AA236" s="181">
        <v>0</v>
      </c>
      <c r="AB236" s="181"/>
      <c r="AC236" s="181">
        <v>3022</v>
      </c>
      <c r="AD236" s="181">
        <v>0</v>
      </c>
      <c r="AE236" s="181">
        <f t="shared" ref="AE236:AE241" si="161">SUM(W236:AD236)</f>
        <v>6039</v>
      </c>
      <c r="AF236" s="248">
        <v>103049</v>
      </c>
      <c r="AK236" s="250">
        <f t="shared" si="157"/>
        <v>6179</v>
      </c>
      <c r="AL236" s="251">
        <v>0</v>
      </c>
      <c r="AM236" s="181">
        <v>6179</v>
      </c>
      <c r="AN236" s="181">
        <v>0</v>
      </c>
      <c r="AO236" s="181">
        <v>212788</v>
      </c>
      <c r="AP236" s="252">
        <f t="shared" si="106"/>
        <v>0.78643471447631508</v>
      </c>
      <c r="AQ236" s="181">
        <v>1.58</v>
      </c>
      <c r="AR236" s="181">
        <v>113898</v>
      </c>
      <c r="AS236" s="181">
        <v>49053</v>
      </c>
      <c r="AT236" s="235">
        <v>2309.5</v>
      </c>
      <c r="AU236" s="246">
        <v>45585</v>
      </c>
      <c r="AV236" s="252">
        <f t="shared" si="126"/>
        <v>0.20548014029485573</v>
      </c>
      <c r="AW236" s="252">
        <f t="shared" si="104"/>
        <v>0.13047495500290124</v>
      </c>
      <c r="AX236" s="252">
        <f t="shared" si="154"/>
        <v>7.500518529195449E-2</v>
      </c>
      <c r="AY236" s="252">
        <f t="shared" si="107"/>
        <v>1.0231971935358493</v>
      </c>
      <c r="AZ236" s="252">
        <f t="shared" si="108"/>
        <v>0.91690966947921637</v>
      </c>
      <c r="BA236" s="252">
        <f>BD236/V236</f>
        <v>0.67411628386850997</v>
      </c>
      <c r="BB236" s="252">
        <f>BE234/V234</f>
        <v>0.8875082951554828</v>
      </c>
      <c r="BC236" s="181">
        <f t="shared" si="158"/>
        <v>276849.53424657532</v>
      </c>
      <c r="BD236" s="181">
        <f>$BD$4*BF236</f>
        <v>127410</v>
      </c>
      <c r="BE236" s="181">
        <f t="shared" si="159"/>
        <v>149439.53424657535</v>
      </c>
      <c r="BF236" s="181">
        <v>31</v>
      </c>
      <c r="BG236" s="181"/>
      <c r="BH236" s="253">
        <f t="shared" ref="BH236:BH241" si="162">O236/(M236+N236)</f>
        <v>0</v>
      </c>
      <c r="BI236" s="253">
        <f t="shared" ref="BI236:BI241" si="163">AD236/(M236+N236)</f>
        <v>0</v>
      </c>
      <c r="BJ236" s="261">
        <f t="shared" si="160"/>
        <v>1</v>
      </c>
      <c r="BK236" s="181">
        <f t="array" ref="BK236">SUM(G236,M236,N236:O236,P236,AE236,AO236,AR236,AS236:AT236+AK236)</f>
        <v>439824.87800000003</v>
      </c>
      <c r="BL236" s="181">
        <f t="shared" si="155"/>
        <v>378048.5</v>
      </c>
      <c r="BM236" s="181">
        <f t="shared" ref="BM236:BM241" si="164">(BL236*100)/BK236</f>
        <v>85.954323847956587</v>
      </c>
    </row>
    <row r="237" spans="1:65" s="249" customFormat="1" ht="13.8" x14ac:dyDescent="0.3">
      <c r="A237" s="244">
        <v>45801</v>
      </c>
      <c r="B237" s="181">
        <v>292925.44300000003</v>
      </c>
      <c r="C237" s="181">
        <v>6870.21</v>
      </c>
      <c r="D237" s="181">
        <v>14.6</v>
      </c>
      <c r="E237" s="181">
        <v>14397.06</v>
      </c>
      <c r="F237" s="181">
        <v>5.0999999999999996</v>
      </c>
      <c r="G237" s="245">
        <f t="shared" si="125"/>
        <v>3117</v>
      </c>
      <c r="H237" s="246">
        <v>916</v>
      </c>
      <c r="I237" s="181">
        <v>2023</v>
      </c>
      <c r="J237" s="181">
        <v>67</v>
      </c>
      <c r="K237" s="181">
        <v>111</v>
      </c>
      <c r="L237" s="181"/>
      <c r="M237" s="181">
        <v>31</v>
      </c>
      <c r="N237" s="181">
        <v>50415</v>
      </c>
      <c r="O237" s="181">
        <v>0</v>
      </c>
      <c r="P237" s="235">
        <f t="shared" si="156"/>
        <v>8967.7920000000013</v>
      </c>
      <c r="Q237" s="247">
        <v>5651.8710000000001</v>
      </c>
      <c r="R237" s="247">
        <v>55.564</v>
      </c>
      <c r="S237" s="247">
        <v>0</v>
      </c>
      <c r="T237" s="235">
        <v>3260.357</v>
      </c>
      <c r="U237" s="181">
        <v>0</v>
      </c>
      <c r="V237" s="181">
        <v>218650</v>
      </c>
      <c r="W237" s="181">
        <v>0</v>
      </c>
      <c r="X237" s="181">
        <v>0</v>
      </c>
      <c r="Y237" s="181">
        <v>1176</v>
      </c>
      <c r="Z237" s="181">
        <v>2616</v>
      </c>
      <c r="AA237" s="181">
        <v>0</v>
      </c>
      <c r="AB237" s="181"/>
      <c r="AC237" s="181">
        <v>2635</v>
      </c>
      <c r="AD237" s="181">
        <v>0</v>
      </c>
      <c r="AE237" s="181">
        <f t="shared" si="161"/>
        <v>6427</v>
      </c>
      <c r="AF237" s="248">
        <v>106166</v>
      </c>
      <c r="AK237" s="250">
        <f t="shared" si="157"/>
        <v>8534</v>
      </c>
      <c r="AL237" s="251">
        <v>0</v>
      </c>
      <c r="AM237" s="181">
        <v>8534</v>
      </c>
      <c r="AN237" s="181">
        <v>0</v>
      </c>
      <c r="AO237" s="181">
        <v>194837</v>
      </c>
      <c r="AP237" s="252">
        <f t="shared" si="106"/>
        <v>0.66514194876544053</v>
      </c>
      <c r="AQ237" s="181">
        <v>1.49</v>
      </c>
      <c r="AR237" s="181">
        <v>102135</v>
      </c>
      <c r="AS237" s="181">
        <v>38803</v>
      </c>
      <c r="AT237" s="235">
        <v>2309.5</v>
      </c>
      <c r="AU237" s="246">
        <v>45585</v>
      </c>
      <c r="AV237" s="252">
        <f t="shared" si="126"/>
        <v>0.26454442197429739</v>
      </c>
      <c r="AW237" s="252">
        <f t="shared" si="104"/>
        <v>0.18285540324334337</v>
      </c>
      <c r="AX237" s="252">
        <f t="shared" si="154"/>
        <v>8.1689018730954022E-2</v>
      </c>
      <c r="AY237" s="252">
        <f t="shared" si="107"/>
        <v>0.94511945227842598</v>
      </c>
      <c r="AZ237" s="252">
        <f t="shared" si="108"/>
        <v>0.8479973520087839</v>
      </c>
      <c r="BA237" s="252">
        <f>BD237/V237</f>
        <v>0.5827120969586097</v>
      </c>
      <c r="BB237" s="252">
        <f>BE235/V235</f>
        <v>0.66037196524275876</v>
      </c>
      <c r="BC237" s="181">
        <f t="shared" si="158"/>
        <v>276849.53424657532</v>
      </c>
      <c r="BD237" s="181">
        <f>$BD$4*BF237</f>
        <v>127410</v>
      </c>
      <c r="BE237" s="181">
        <f t="shared" si="159"/>
        <v>149439.53424657535</v>
      </c>
      <c r="BF237" s="181">
        <v>31</v>
      </c>
      <c r="BG237" s="181"/>
      <c r="BH237" s="253">
        <f t="shared" si="162"/>
        <v>0</v>
      </c>
      <c r="BI237" s="253">
        <f t="shared" si="163"/>
        <v>0</v>
      </c>
      <c r="BJ237" s="261">
        <f t="shared" si="160"/>
        <v>1</v>
      </c>
      <c r="BK237" s="181">
        <f t="array" ref="BK237">SUM(G237,M237,N237:O237,P237,AE237,AO237,AR237,AS237:AT237+AK237)</f>
        <v>424110.29200000002</v>
      </c>
      <c r="BL237" s="181">
        <f t="shared" si="155"/>
        <v>338084.5</v>
      </c>
      <c r="BM237" s="181">
        <f t="shared" si="164"/>
        <v>79.7161743955037</v>
      </c>
    </row>
    <row r="238" spans="1:65" s="249" customFormat="1" ht="13.8" x14ac:dyDescent="0.3">
      <c r="A238" s="244">
        <v>45832</v>
      </c>
      <c r="B238" s="181">
        <v>313137</v>
      </c>
      <c r="C238" s="181">
        <v>7477.32</v>
      </c>
      <c r="D238" s="181">
        <v>14.26</v>
      </c>
      <c r="E238" s="181">
        <v>12885</v>
      </c>
      <c r="F238" s="181">
        <v>5.78</v>
      </c>
      <c r="G238" s="245">
        <f t="shared" si="125"/>
        <v>3045</v>
      </c>
      <c r="H238" s="246">
        <v>400</v>
      </c>
      <c r="I238" s="181">
        <v>858</v>
      </c>
      <c r="J238" s="181">
        <v>1543</v>
      </c>
      <c r="K238" s="181">
        <v>244</v>
      </c>
      <c r="L238" s="181"/>
      <c r="M238" s="181">
        <v>0</v>
      </c>
      <c r="N238" s="181">
        <v>20270</v>
      </c>
      <c r="O238" s="181">
        <v>0</v>
      </c>
      <c r="P238" s="235">
        <f t="shared" si="156"/>
        <v>6662.2550000000001</v>
      </c>
      <c r="Q238" s="247">
        <v>3459.4940000000001</v>
      </c>
      <c r="R238" s="247">
        <v>0</v>
      </c>
      <c r="S238" s="247">
        <v>0</v>
      </c>
      <c r="T238" s="235">
        <v>3202.761</v>
      </c>
      <c r="U238" s="181">
        <v>0</v>
      </c>
      <c r="V238" s="181">
        <v>205723</v>
      </c>
      <c r="W238" s="181">
        <v>0</v>
      </c>
      <c r="X238" s="181">
        <v>0</v>
      </c>
      <c r="Y238" s="181">
        <v>1254</v>
      </c>
      <c r="Z238" s="181">
        <v>3252</v>
      </c>
      <c r="AA238" s="181">
        <v>0</v>
      </c>
      <c r="AB238" s="181"/>
      <c r="AC238" s="181">
        <v>2935</v>
      </c>
      <c r="AD238" s="181">
        <v>0</v>
      </c>
      <c r="AE238" s="181">
        <f t="shared" si="161"/>
        <v>7441</v>
      </c>
      <c r="AF238" s="248">
        <v>82414</v>
      </c>
      <c r="AK238" s="250">
        <f t="shared" si="157"/>
        <v>6078</v>
      </c>
      <c r="AL238" s="251">
        <v>0</v>
      </c>
      <c r="AM238" s="181">
        <v>6078</v>
      </c>
      <c r="AN238" s="181">
        <v>0</v>
      </c>
      <c r="AO238" s="181">
        <v>206856</v>
      </c>
      <c r="AP238" s="252">
        <f>AO238/B238</f>
        <v>0.66059264794642603</v>
      </c>
      <c r="AQ238" s="181">
        <v>1.59</v>
      </c>
      <c r="AR238" s="181">
        <v>90967</v>
      </c>
      <c r="AS238" s="181">
        <v>31035</v>
      </c>
      <c r="AT238" s="235">
        <v>2309.5</v>
      </c>
      <c r="AU238" s="246">
        <v>45585</v>
      </c>
      <c r="AV238" s="252">
        <f t="shared" si="126"/>
        <v>0.1389048723082868</v>
      </c>
      <c r="AW238" s="252">
        <f t="shared" si="104"/>
        <v>7.4456228423980558E-2</v>
      </c>
      <c r="AX238" s="252">
        <f t="shared" si="154"/>
        <v>6.4448643884306239E-2</v>
      </c>
      <c r="AY238" s="252">
        <f t="shared" si="107"/>
        <v>0.88411632686835262</v>
      </c>
      <c r="AZ238" s="252">
        <f t="shared" si="108"/>
        <v>0.73504887637040661</v>
      </c>
      <c r="BA238" s="252">
        <f>BD238/V238</f>
        <v>0.61932793124735686</v>
      </c>
      <c r="BB238" s="252">
        <f>BE236/V236</f>
        <v>0.79067281602183748</v>
      </c>
      <c r="BC238" s="181">
        <f t="shared" si="158"/>
        <v>276849.53424657532</v>
      </c>
      <c r="BD238" s="181">
        <f>$BD$4*BF238</f>
        <v>127410</v>
      </c>
      <c r="BE238" s="181">
        <f t="shared" si="159"/>
        <v>149439.53424657535</v>
      </c>
      <c r="BF238" s="181">
        <v>31</v>
      </c>
      <c r="BG238" s="181"/>
      <c r="BH238" s="253">
        <f t="shared" si="162"/>
        <v>0</v>
      </c>
      <c r="BI238" s="253">
        <f t="shared" si="163"/>
        <v>0</v>
      </c>
      <c r="BJ238" s="261">
        <f t="shared" si="160"/>
        <v>1</v>
      </c>
      <c r="BK238" s="181">
        <f t="array" ref="BK238">SUM(G238,M238,N238:O238,P238,AE238,AO238,AR238,AS238:AT238+AK238)</f>
        <v>380741.755</v>
      </c>
      <c r="BL238" s="181">
        <f t="shared" si="155"/>
        <v>331167.5</v>
      </c>
      <c r="BM238" s="181">
        <f t="shared" si="164"/>
        <v>86.979559150269708</v>
      </c>
    </row>
    <row r="239" spans="1:65" ht="13.8" x14ac:dyDescent="0.3">
      <c r="A239" s="135">
        <v>45862</v>
      </c>
      <c r="B239" s="14">
        <v>295183.35119999998</v>
      </c>
      <c r="C239" s="14">
        <v>7549.32</v>
      </c>
      <c r="D239" s="14">
        <v>15.2</v>
      </c>
      <c r="E239" s="14">
        <v>12129.36</v>
      </c>
      <c r="F239" s="14">
        <v>5.61</v>
      </c>
      <c r="G239" s="165">
        <f t="shared" si="125"/>
        <v>5882</v>
      </c>
      <c r="H239" s="204">
        <v>1270</v>
      </c>
      <c r="I239" s="187">
        <v>1076</v>
      </c>
      <c r="J239" s="187">
        <v>2365</v>
      </c>
      <c r="K239" s="187">
        <v>1171</v>
      </c>
      <c r="L239" s="187"/>
      <c r="M239" s="237">
        <v>139</v>
      </c>
      <c r="N239" s="237">
        <v>1</v>
      </c>
      <c r="O239" s="14">
        <v>0</v>
      </c>
      <c r="P239" s="213">
        <f t="shared" si="156"/>
        <v>7935.5249999999869</v>
      </c>
      <c r="Q239" s="180">
        <v>4056.2779999999912</v>
      </c>
      <c r="R239" s="180">
        <v>0</v>
      </c>
      <c r="S239" s="180">
        <v>0</v>
      </c>
      <c r="T239" s="159">
        <v>3879.2469999999958</v>
      </c>
      <c r="U239" s="181">
        <v>0</v>
      </c>
      <c r="V239" s="14">
        <v>201990</v>
      </c>
      <c r="W239" s="187">
        <v>0</v>
      </c>
      <c r="X239" s="187">
        <v>0</v>
      </c>
      <c r="Y239" s="187">
        <v>1114</v>
      </c>
      <c r="Z239" s="187">
        <v>2365</v>
      </c>
      <c r="AA239" s="187">
        <v>0</v>
      </c>
      <c r="AB239" s="187"/>
      <c r="AC239" s="187">
        <v>2878</v>
      </c>
      <c r="AD239" s="187">
        <v>0</v>
      </c>
      <c r="AE239" s="215">
        <f t="shared" si="161"/>
        <v>6357</v>
      </c>
      <c r="AF239" s="238">
        <v>87431</v>
      </c>
      <c r="AK239" s="233">
        <f t="shared" si="157"/>
        <v>3905</v>
      </c>
      <c r="AL239" s="170">
        <v>0</v>
      </c>
      <c r="AM239" s="14">
        <v>3905</v>
      </c>
      <c r="AN239" s="14">
        <v>0</v>
      </c>
      <c r="AO239" s="111">
        <v>189056</v>
      </c>
      <c r="AP239" s="129">
        <f>AO239/B239</f>
        <v>0.64046972578716366</v>
      </c>
      <c r="AQ239" s="111">
        <v>1.49</v>
      </c>
      <c r="AR239" s="239">
        <v>83553</v>
      </c>
      <c r="AS239" s="239">
        <v>30026</v>
      </c>
      <c r="AT239" s="240">
        <v>2309.5</v>
      </c>
      <c r="AU239" s="127">
        <v>45585</v>
      </c>
      <c r="AV239" s="129">
        <f t="shared" si="126"/>
        <v>8.2049088817309934E-2</v>
      </c>
      <c r="AW239" s="129">
        <f t="shared" si="104"/>
        <v>2.0400879573725772E-2</v>
      </c>
      <c r="AX239" s="129">
        <f t="shared" si="154"/>
        <v>6.1648209243584162E-2</v>
      </c>
      <c r="AY239" s="129">
        <f t="shared" si="107"/>
        <v>0.93789007110701628</v>
      </c>
      <c r="AZ239" s="129">
        <f t="shared" si="108"/>
        <v>0.66087060536088937</v>
      </c>
      <c r="BA239" s="129">
        <f>BD239/V239</f>
        <v>0.6307738006832021</v>
      </c>
      <c r="BB239" s="129">
        <f>BE237/V237</f>
        <v>0.68346459751463684</v>
      </c>
      <c r="BC239" s="111">
        <f t="shared" si="158"/>
        <v>276849.53424657532</v>
      </c>
      <c r="BD239" s="111">
        <f>$BD$4*BF239</f>
        <v>127410</v>
      </c>
      <c r="BE239" s="111">
        <f t="shared" si="159"/>
        <v>149439.53424657535</v>
      </c>
      <c r="BF239" s="111">
        <v>31</v>
      </c>
      <c r="BG239" s="111"/>
      <c r="BH239" s="234">
        <f t="shared" si="162"/>
        <v>0</v>
      </c>
      <c r="BI239" s="234">
        <f t="shared" si="163"/>
        <v>0</v>
      </c>
      <c r="BJ239" s="260">
        <f t="shared" si="160"/>
        <v>1</v>
      </c>
      <c r="BK239" s="14">
        <f t="array" ref="BK239">SUM(G239,M239,N239:O239,P239,AE239,AO239,AR239,AS239:AT239+AK239)</f>
        <v>333069.02500000002</v>
      </c>
      <c r="BL239" s="14">
        <f t="shared" si="155"/>
        <v>304944.5</v>
      </c>
      <c r="BM239" s="14">
        <f t="shared" si="164"/>
        <v>91.555946999274397</v>
      </c>
    </row>
    <row r="240" spans="1:65" ht="13.8" x14ac:dyDescent="0.3">
      <c r="A240" s="135">
        <v>45893</v>
      </c>
      <c r="B240" s="237">
        <v>252866</v>
      </c>
      <c r="C240" s="237">
        <v>5340</v>
      </c>
      <c r="D240" s="237">
        <v>14.25</v>
      </c>
      <c r="E240" s="237">
        <v>9845</v>
      </c>
      <c r="F240" s="237">
        <v>5.59</v>
      </c>
      <c r="G240" s="165">
        <f t="shared" si="125"/>
        <v>4260</v>
      </c>
      <c r="H240" s="204">
        <v>1197</v>
      </c>
      <c r="I240" s="187">
        <v>2024</v>
      </c>
      <c r="J240" s="187">
        <v>828</v>
      </c>
      <c r="K240" s="187">
        <v>211</v>
      </c>
      <c r="L240" s="187"/>
      <c r="M240" s="237">
        <v>24055</v>
      </c>
      <c r="N240" s="237">
        <v>53157</v>
      </c>
      <c r="O240" s="14">
        <v>0</v>
      </c>
      <c r="P240" s="213">
        <f t="shared" si="156"/>
        <v>9303.4609999999993</v>
      </c>
      <c r="Q240" s="180">
        <v>5242.8040000000001</v>
      </c>
      <c r="R240" s="180">
        <v>0</v>
      </c>
      <c r="S240" s="180">
        <v>0.313</v>
      </c>
      <c r="T240" s="159">
        <v>4060.3440000000001</v>
      </c>
      <c r="U240" s="181">
        <v>0</v>
      </c>
      <c r="V240" s="14">
        <v>220598.72627087781</v>
      </c>
      <c r="W240" s="187">
        <v>0</v>
      </c>
      <c r="X240" s="187">
        <v>0</v>
      </c>
      <c r="Y240" s="187">
        <v>956</v>
      </c>
      <c r="Z240" s="187">
        <v>1824</v>
      </c>
      <c r="AA240" s="187">
        <v>0</v>
      </c>
      <c r="AB240" s="187"/>
      <c r="AC240" s="187">
        <v>2861</v>
      </c>
      <c r="AD240" s="187">
        <v>0</v>
      </c>
      <c r="AE240" s="215">
        <f t="shared" si="161"/>
        <v>5641</v>
      </c>
      <c r="AF240" s="238">
        <v>98958.953712001399</v>
      </c>
      <c r="AK240" s="233">
        <f t="shared" si="157"/>
        <v>3875</v>
      </c>
      <c r="AL240" s="170">
        <v>0</v>
      </c>
      <c r="AM240" s="14">
        <v>3875</v>
      </c>
      <c r="AN240" s="14">
        <v>0</v>
      </c>
      <c r="AO240" s="14">
        <v>149183</v>
      </c>
      <c r="AP240" s="125">
        <f>AO240/B240</f>
        <v>0.58996859996994455</v>
      </c>
      <c r="AQ240" s="14">
        <v>1.41</v>
      </c>
      <c r="AR240" s="181">
        <v>76613</v>
      </c>
      <c r="AS240" s="181">
        <v>28048</v>
      </c>
      <c r="AT240" s="235">
        <v>2309.5</v>
      </c>
      <c r="AU240" s="127">
        <v>45585</v>
      </c>
      <c r="AV240" s="129">
        <f t="shared" si="126"/>
        <v>0.39661900374111186</v>
      </c>
      <c r="AW240" s="129">
        <f t="shared" si="104"/>
        <v>0.32219436381324495</v>
      </c>
      <c r="AX240" s="129">
        <f>AV240-AW240</f>
        <v>7.4424639927866909E-2</v>
      </c>
      <c r="AY240" s="129">
        <f t="shared" si="107"/>
        <v>1.0948468131206857</v>
      </c>
      <c r="AZ240" s="129">
        <f t="shared" si="108"/>
        <v>0.91216296378318951</v>
      </c>
      <c r="BA240" s="129">
        <f>BD240/V240</f>
        <v>0.57756453155377963</v>
      </c>
      <c r="BB240" s="129">
        <f>BE238/V238</f>
        <v>0.72641140877089749</v>
      </c>
      <c r="BC240" s="111">
        <f t="shared" si="158"/>
        <v>276849.53424657532</v>
      </c>
      <c r="BD240" s="111">
        <f>$BD$4*BF240</f>
        <v>127410</v>
      </c>
      <c r="BE240" s="111">
        <f t="shared" si="159"/>
        <v>149439.53424657535</v>
      </c>
      <c r="BF240" s="111">
        <v>31</v>
      </c>
      <c r="BG240" s="111"/>
      <c r="BH240" s="234">
        <f t="shared" si="162"/>
        <v>0</v>
      </c>
      <c r="BI240" s="179">
        <f t="shared" si="163"/>
        <v>0</v>
      </c>
      <c r="BJ240" s="259">
        <f t="shared" si="160"/>
        <v>1</v>
      </c>
      <c r="BK240" s="14">
        <f t="array" ref="BK240">SUM(G240,M240,N240:O240,P240,AE240,AO240,AR240,AS240:AT240+AK240)</f>
        <v>360319.96100000001</v>
      </c>
      <c r="BL240" s="14">
        <f>SUM(AO240,AR240,AS240:AT240)</f>
        <v>256153.5</v>
      </c>
      <c r="BM240" s="14">
        <f t="shared" si="164"/>
        <v>71.090566087178274</v>
      </c>
    </row>
    <row r="241" spans="1:65" ht="13.8" x14ac:dyDescent="0.3">
      <c r="A241" s="135">
        <v>45925</v>
      </c>
      <c r="B241" s="237">
        <v>310751</v>
      </c>
      <c r="C241" s="237">
        <v>7806.78</v>
      </c>
      <c r="D241" s="237">
        <v>14.41</v>
      </c>
      <c r="E241" s="237">
        <v>13884</v>
      </c>
      <c r="F241" s="237">
        <v>5.56</v>
      </c>
      <c r="G241" s="165">
        <f>H241+I241+J241+K241+L241</f>
        <v>4707</v>
      </c>
      <c r="H241" s="204">
        <v>1171</v>
      </c>
      <c r="I241" s="187">
        <v>1902</v>
      </c>
      <c r="J241" s="187">
        <v>1389</v>
      </c>
      <c r="K241" s="187">
        <v>148</v>
      </c>
      <c r="L241" s="187">
        <v>97</v>
      </c>
      <c r="M241" s="237">
        <v>45503</v>
      </c>
      <c r="N241" s="237">
        <v>56669</v>
      </c>
      <c r="O241" s="14">
        <v>0</v>
      </c>
      <c r="P241" s="213">
        <f t="shared" si="156"/>
        <v>9730</v>
      </c>
      <c r="Q241" s="180">
        <v>5279</v>
      </c>
      <c r="R241" s="180">
        <v>0</v>
      </c>
      <c r="S241" s="180">
        <v>0</v>
      </c>
      <c r="T241" s="159">
        <v>4451</v>
      </c>
      <c r="U241" s="181">
        <v>0</v>
      </c>
      <c r="V241" s="14">
        <v>191353</v>
      </c>
      <c r="W241" s="187">
        <v>0</v>
      </c>
      <c r="X241" s="187">
        <v>0</v>
      </c>
      <c r="Y241" s="187">
        <v>453</v>
      </c>
      <c r="Z241" s="187">
        <v>2862</v>
      </c>
      <c r="AA241" s="187">
        <v>0</v>
      </c>
      <c r="AB241" s="187"/>
      <c r="AC241" s="187">
        <v>2948</v>
      </c>
      <c r="AD241" s="187">
        <v>0</v>
      </c>
      <c r="AE241" s="215">
        <f t="shared" si="161"/>
        <v>6263</v>
      </c>
      <c r="AF241" s="238">
        <v>88659</v>
      </c>
      <c r="AK241" s="233">
        <f t="shared" si="157"/>
        <v>3787</v>
      </c>
      <c r="AL241" s="170">
        <v>0</v>
      </c>
      <c r="AM241" s="14">
        <v>3787</v>
      </c>
      <c r="AN241" s="14">
        <v>0</v>
      </c>
      <c r="AO241" s="14">
        <v>134234</v>
      </c>
      <c r="AP241" s="125">
        <f>AO241/B241</f>
        <v>0.43196642971382232</v>
      </c>
      <c r="AQ241" s="14">
        <v>1.53</v>
      </c>
      <c r="AR241" s="181">
        <v>85702</v>
      </c>
      <c r="AS241" s="181">
        <v>28925</v>
      </c>
      <c r="AT241" s="235">
        <v>2309.5</v>
      </c>
      <c r="AW241" s="1">
        <f t="shared" si="104"/>
        <v>0.34393775080369815</v>
      </c>
      <c r="AZ241" s="1">
        <f t="shared" si="108"/>
        <v>0.77590418051752041</v>
      </c>
      <c r="BH241" s="1">
        <f t="shared" si="162"/>
        <v>0</v>
      </c>
      <c r="BI241" s="179">
        <f t="shared" si="163"/>
        <v>0</v>
      </c>
      <c r="BJ241" s="259">
        <f t="shared" si="160"/>
        <v>1</v>
      </c>
      <c r="BK241" s="14">
        <f t="array" ref="BK241">SUM(G241,M241,N241:O241,P241,AE241,AO241,AR241,AS241:AT241+AK241)</f>
        <v>381616.5</v>
      </c>
      <c r="BL241" s="14">
        <f>SUM(AO241,AR241,AS241:AT241)</f>
        <v>251170.5</v>
      </c>
      <c r="BM241" s="14">
        <f t="shared" si="164"/>
        <v>65.817515752070463</v>
      </c>
    </row>
    <row r="242" spans="1:65" ht="13.8" x14ac:dyDescent="0.3">
      <c r="A242" s="135">
        <v>45955</v>
      </c>
      <c r="B242" s="254">
        <v>306115.63439999998</v>
      </c>
      <c r="C242" s="237">
        <v>7808.9800000000005</v>
      </c>
      <c r="D242" s="255">
        <v>14.157939961429056</v>
      </c>
      <c r="E242" s="237">
        <v>10101</v>
      </c>
      <c r="F242" s="237">
        <v>5.38</v>
      </c>
      <c r="G242" s="165">
        <f>H242+I242+J242+K242+L242</f>
        <v>4745</v>
      </c>
      <c r="H242" s="204">
        <v>893</v>
      </c>
      <c r="I242" s="187">
        <v>2204</v>
      </c>
      <c r="J242" s="187">
        <v>1329</v>
      </c>
      <c r="K242" s="187">
        <v>136</v>
      </c>
      <c r="L242" s="187">
        <v>183</v>
      </c>
      <c r="M242" s="237">
        <v>73495</v>
      </c>
      <c r="N242" s="237">
        <v>20699</v>
      </c>
      <c r="O242" s="14">
        <v>0</v>
      </c>
      <c r="P242" s="213">
        <f>Q242+R242+S242+T242+U242</f>
        <v>8181</v>
      </c>
      <c r="Q242" s="180">
        <v>4345</v>
      </c>
      <c r="R242" s="180">
        <v>0</v>
      </c>
      <c r="S242" s="180">
        <v>0</v>
      </c>
      <c r="T242" s="159">
        <v>3836</v>
      </c>
      <c r="U242" s="181">
        <v>0</v>
      </c>
      <c r="V242" s="14">
        <v>204331</v>
      </c>
      <c r="W242" s="187">
        <v>0</v>
      </c>
      <c r="X242" s="187">
        <v>0</v>
      </c>
      <c r="Y242" s="187">
        <v>130</v>
      </c>
      <c r="Z242" s="187">
        <v>2546</v>
      </c>
      <c r="AA242" s="187">
        <v>0</v>
      </c>
      <c r="AB242" s="187"/>
      <c r="AC242" s="187">
        <v>1848</v>
      </c>
      <c r="AD242" s="187">
        <v>0</v>
      </c>
      <c r="AE242" s="215">
        <f>SUM(W242:AD242)</f>
        <v>4524</v>
      </c>
      <c r="AF242" s="238">
        <v>87853</v>
      </c>
      <c r="AK242" s="233">
        <f>SUM(AL242+AM242)</f>
        <v>3811</v>
      </c>
      <c r="AL242" s="170">
        <v>0</v>
      </c>
      <c r="AM242" s="14">
        <v>3811</v>
      </c>
      <c r="AN242" s="14">
        <v>1439</v>
      </c>
      <c r="AO242" s="14">
        <v>158118</v>
      </c>
      <c r="AP242" s="125">
        <f>AO242/B242</f>
        <v>0.51653029846031284</v>
      </c>
      <c r="AQ242" s="14">
        <v>1.53</v>
      </c>
      <c r="AR242" s="181">
        <v>82962</v>
      </c>
      <c r="AS242" s="181">
        <v>2259</v>
      </c>
      <c r="AT242" s="235">
        <v>2309.5</v>
      </c>
      <c r="AW242" s="1">
        <f>(M242+N242+G242)/B242</f>
        <v>0.32320792825209588</v>
      </c>
      <c r="AZ242" s="1">
        <f>(M242+N242+G242+AO242)/B242</f>
        <v>0.83973822671240872</v>
      </c>
      <c r="BH242" s="1">
        <f>O242/(M242+N242)</f>
        <v>0</v>
      </c>
      <c r="BI242" s="179">
        <f>AD242/(M242+N242)</f>
        <v>0</v>
      </c>
      <c r="BJ242" s="259">
        <f>1-BI242-BH242</f>
        <v>1</v>
      </c>
      <c r="BK242" s="14">
        <f t="array" ref="BK242">SUM(G242,M242,N242:O242,P242,AE242,AO242,AR242,AS242:AT242+AK242)</f>
        <v>364914.5</v>
      </c>
      <c r="BL242" s="14">
        <f>SUM(AO242,AR242,AS242:AT242)</f>
        <v>245648.5</v>
      </c>
      <c r="BM242" s="14">
        <f>(BL242*100)/BK242</f>
        <v>67.316727617017136</v>
      </c>
    </row>
    <row r="243" spans="1:65" x14ac:dyDescent="0.2">
      <c r="AK243" s="134"/>
      <c r="AL243" s="241"/>
      <c r="AM243" s="242"/>
      <c r="AN243" s="134"/>
    </row>
  </sheetData>
  <mergeCells count="11">
    <mergeCell ref="BH44:BJ44"/>
    <mergeCell ref="AV3:AW3"/>
    <mergeCell ref="AV1:AY1"/>
    <mergeCell ref="W2:AF2"/>
    <mergeCell ref="P2:V2"/>
    <mergeCell ref="B2:F2"/>
    <mergeCell ref="M2:O2"/>
    <mergeCell ref="G2:L2"/>
    <mergeCell ref="AK2:AN2"/>
    <mergeCell ref="AO2:AP2"/>
    <mergeCell ref="AR2:AT2"/>
  </mergeCells>
  <phoneticPr fontId="0" type="noConversion"/>
  <pageMargins left="0.75" right="0.75" top="1" bottom="1" header="0.5" footer="0.5"/>
  <pageSetup scale="99" orientation="portrait" r:id="rId1"/>
  <headerFooter alignWithMargins="0"/>
  <ignoredErrors>
    <ignoredError sqref="AE143:AE156 AE134:AE142 AE157:AE165 AE166:AE181 AE182:AE183 AE184:AE206 AE207:AE209 AE210:AE218 AE219:AE220 AE221:AE224" formulaRange="1"/>
    <ignoredError sqref="AP135 AV135:AZ135 AP141 AV141 AW141:AZ141 AP167 BH185:BJ185" evalError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8C76-1EED-4930-A272-45BC2DED70E9}">
  <sheetPr>
    <pageSetUpPr fitToPage="1"/>
  </sheetPr>
  <dimension ref="A2:AG121"/>
  <sheetViews>
    <sheetView showGridLines="0" zoomScale="65" zoomScaleNormal="65" workbookViewId="0">
      <pane ySplit="5" topLeftCell="A60" activePane="bottomLeft" state="frozen"/>
      <selection activeCell="C50" sqref="C50"/>
      <selection pane="bottomLeft" activeCell="X64" sqref="X64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v>41213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5769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119574.70979189529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47226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43565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30074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1074.0714285714287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-2543.8676516168925</v>
      </c>
      <c r="U48" s="40" t="s">
        <v>20</v>
      </c>
      <c r="Y48" s="16">
        <f>V101</f>
        <v>6812.8676516168925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-3783.8676516168925</v>
      </c>
      <c r="U49" s="40" t="s">
        <v>21</v>
      </c>
      <c r="Y49" s="39"/>
      <c r="Z49" s="39"/>
      <c r="AF49" s="16">
        <f>V119</f>
        <v>895.57640252091915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181767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3095.6485174088302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146</v>
      </c>
      <c r="Y64" s="16">
        <f>R81</f>
        <v>0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202</v>
      </c>
      <c r="AB65" s="16">
        <f>R81</f>
        <v>0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9012.9397665048036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-56</v>
      </c>
      <c r="Z69" s="16">
        <f>AC75</f>
        <v>0</v>
      </c>
      <c r="AF69" s="117">
        <f>Z83+V43</f>
        <v>-10256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>
        <f>Z84+V44</f>
        <v>-366.28571428571422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693.48899999999992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>
        <f>R81</f>
        <v>0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>
        <v>47226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1492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>
        <f>(Z81-X64-R79)</f>
        <v>-40330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>
        <f>Z83/28</f>
        <v>-1440.3571428571429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41183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9012.9397665048036</v>
      </c>
      <c r="D97" s="62"/>
      <c r="E97" s="63">
        <f>C97/(C$106)</f>
        <v>4.0806416717318092E-2</v>
      </c>
      <c r="F97" s="26"/>
      <c r="G97" s="26"/>
      <c r="H97" s="26"/>
      <c r="I97" s="31"/>
      <c r="J97" s="26"/>
      <c r="K97" s="26" t="s">
        <v>31</v>
      </c>
      <c r="L97" s="26"/>
      <c r="M97" s="64">
        <v>4065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6812.8676516168925</v>
      </c>
      <c r="W97" s="59" t="s">
        <v>10</v>
      </c>
      <c r="X97" s="32" t="str">
        <f>B99</f>
        <v>Klein Dwars</v>
      </c>
      <c r="Y97" s="61">
        <f>R79</f>
        <v>47226</v>
      </c>
      <c r="AA97" s="32" t="s">
        <v>34</v>
      </c>
      <c r="AC97" s="61">
        <f>AC101</f>
        <v>3095.6485174088302</v>
      </c>
      <c r="AD97" s="59" t="s">
        <v>10</v>
      </c>
    </row>
    <row r="98" spans="1:30" x14ac:dyDescent="0.25">
      <c r="A98" s="24"/>
      <c r="B98" s="32" t="s">
        <v>35</v>
      </c>
      <c r="C98" s="66">
        <v>43565</v>
      </c>
      <c r="D98" s="62"/>
      <c r="E98" s="67">
        <f>C98/(C$106)</f>
        <v>0.19724214189210795</v>
      </c>
      <c r="F98" s="26"/>
      <c r="G98" s="26"/>
      <c r="H98" s="26"/>
      <c r="I98" s="31"/>
      <c r="J98" s="26"/>
      <c r="K98" s="26" t="s">
        <v>36</v>
      </c>
      <c r="L98" s="26"/>
      <c r="M98" s="68">
        <v>17.059999999999999</v>
      </c>
      <c r="N98" s="62" t="s">
        <v>9</v>
      </c>
      <c r="O98" s="65"/>
      <c r="P98" s="49"/>
      <c r="Q98" s="32" t="s">
        <v>37</v>
      </c>
      <c r="R98" s="66">
        <v>5769</v>
      </c>
      <c r="T98" s="16" t="s">
        <v>38</v>
      </c>
      <c r="V98" s="97">
        <v>205426</v>
      </c>
      <c r="W98" s="16" t="s">
        <v>32</v>
      </c>
      <c r="X98" s="32" t="s">
        <v>37</v>
      </c>
      <c r="Y98" s="66">
        <f>X83</f>
        <v>0</v>
      </c>
      <c r="AA98" s="16" t="s">
        <v>38</v>
      </c>
      <c r="AC98" s="97">
        <v>93342</v>
      </c>
      <c r="AD98" s="16" t="s">
        <v>32</v>
      </c>
    </row>
    <row r="99" spans="1:30" x14ac:dyDescent="0.25">
      <c r="A99" s="24"/>
      <c r="B99" s="32" t="s">
        <v>39</v>
      </c>
      <c r="C99" s="66">
        <v>47226</v>
      </c>
      <c r="D99" s="62"/>
      <c r="E99" s="67">
        <f>C99/(C$106)</f>
        <v>0.21381745421775944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693.48899999999992</v>
      </c>
      <c r="N99" s="70" t="s">
        <v>10</v>
      </c>
      <c r="O99" s="71">
        <f>M99/M$117</f>
        <v>3.1397969869991055E-3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1492</v>
      </c>
      <c r="D100" s="62"/>
      <c r="E100" s="63">
        <f>C100/(C$106)</f>
        <v>6.7550849467009075E-3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212238.86765161689</v>
      </c>
      <c r="Y100" s="72"/>
      <c r="AA100" s="16" t="s">
        <v>42</v>
      </c>
      <c r="AC100" s="16">
        <f>(AC98/(1-AC99/100))</f>
        <v>96437.64851740883</v>
      </c>
    </row>
    <row r="101" spans="1:30" x14ac:dyDescent="0.25">
      <c r="A101" s="24"/>
      <c r="B101" s="26"/>
      <c r="C101" s="61"/>
      <c r="D101" s="75">
        <f>M117-C105</f>
        <v>119574.70979189529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6812.8676516168925</v>
      </c>
      <c r="AA101" s="16" t="s">
        <v>44</v>
      </c>
      <c r="AC101" s="16">
        <f>AC100-AC98</f>
        <v>3095.6485174088302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101295.9397665048</v>
      </c>
      <c r="D105" s="75"/>
      <c r="E105" s="67">
        <f>SUM(E97:E102)</f>
        <v>0.45862109777388638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220870.64955840009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0.54343785360277674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6.4895523740529984E-4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271764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55.259292735284149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0.80965037824575747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220033.82539358005</v>
      </c>
      <c r="N116" s="94" t="s">
        <v>10</v>
      </c>
      <c r="O116" s="95">
        <f>M116/M$117</f>
        <v>0.99621124777559555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220870.64955840009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895.57640252091915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Detailed water ret flow Jun 09</vt:lpstr>
      <vt:lpstr>Detailed water ret flow Jul 09</vt:lpstr>
      <vt:lpstr>Detailed water ret flow Au 09</vt:lpstr>
      <vt:lpstr>Detailed water ret flow Sep 09</vt:lpstr>
      <vt:lpstr>Detailed water ret flow Oct 09</vt:lpstr>
      <vt:lpstr>Detailed water ret flow Nov 09</vt:lpstr>
      <vt:lpstr>Detailed water ret flow Dec 09</vt:lpstr>
      <vt:lpstr>Detailed water ret flow Jan 10</vt:lpstr>
      <vt:lpstr>Detailed water ret flow Feb</vt:lpstr>
      <vt:lpstr>Detailed water ret flow Dec</vt:lpstr>
      <vt:lpstr>Detailed water ret flow Jan</vt:lpstr>
      <vt:lpstr>Meter Readings</vt:lpstr>
      <vt:lpstr>Nov12</vt:lpstr>
    </vt:vector>
  </TitlesOfParts>
  <Company>TRP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cynthiab</dc:creator>
  <cp:lastModifiedBy>caliphs zvinowanda</cp:lastModifiedBy>
  <cp:lastPrinted>2020-01-20T08:38:40Z</cp:lastPrinted>
  <dcterms:created xsi:type="dcterms:W3CDTF">2009-09-01T06:07:02Z</dcterms:created>
  <dcterms:modified xsi:type="dcterms:W3CDTF">2026-01-04T12:21:56Z</dcterms:modified>
</cp:coreProperties>
</file>